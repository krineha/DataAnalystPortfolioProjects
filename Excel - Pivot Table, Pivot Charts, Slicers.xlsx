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/>
  <xr:revisionPtr revIDLastSave="0" documentId="8_{ACC792DE-2B49-4F27-86EC-982D370D5A9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ivot1" sheetId="4" r:id="rId1"/>
    <sheet name="Pivot2" sheetId="6" r:id="rId2"/>
    <sheet name="Pivot3" sheetId="7" r:id="rId3"/>
    <sheet name="Pivot4" sheetId="8" r:id="rId4"/>
    <sheet name="Dashboard" sheetId="9" r:id="rId5"/>
    <sheet name="Patient_Data" sheetId="1" r:id="rId6"/>
    <sheet name="Department_Master" sheetId="2" r:id="rId7"/>
    <sheet name="Doctor_Master" sheetId="3" r:id="rId8"/>
  </sheets>
  <definedNames>
    <definedName name="Slicer_Admission_Type">#N/A</definedName>
    <definedName name="Slicer_City">#N/A</definedName>
    <definedName name="Slicer_Department_Name">#N/A</definedName>
    <definedName name="Slicer_Doctor_Name1">#N/A</definedName>
    <definedName name="Slicer_Insurance">#N/A</definedName>
  </definedNames>
  <calcPr calcId="191028"/>
  <pivotCaches>
    <pivotCache cacheId="3605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  <c r="B7" i="9"/>
  <c r="B6" i="9"/>
  <c r="B5" i="9"/>
  <c r="B4" i="9"/>
  <c r="B3" i="9"/>
  <c r="B2" i="9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<sst xmlns="http://schemas.openxmlformats.org/spreadsheetml/2006/main" count="835" uniqueCount="178">
  <si>
    <t>Doctor Name</t>
  </si>
  <si>
    <t>Sum of Bill_Amount</t>
  </si>
  <si>
    <t>Dr Iyer</t>
  </si>
  <si>
    <t>Dr Khan</t>
  </si>
  <si>
    <t>Dr Mehta</t>
  </si>
  <si>
    <t>Dr Rao</t>
  </si>
  <si>
    <t>Dr Sharma</t>
  </si>
  <si>
    <t>Grand Total</t>
  </si>
  <si>
    <t>Department Name</t>
  </si>
  <si>
    <t>Cardiology</t>
  </si>
  <si>
    <t>General</t>
  </si>
  <si>
    <t>Neurology</t>
  </si>
  <si>
    <t>Orthopedics</t>
  </si>
  <si>
    <t>Surgery</t>
  </si>
  <si>
    <t>Insurance</t>
  </si>
  <si>
    <t>Count of Patient_ID</t>
  </si>
  <si>
    <t>No</t>
  </si>
  <si>
    <t>Yes</t>
  </si>
  <si>
    <t>Admission_Type</t>
  </si>
  <si>
    <t>IPD</t>
  </si>
  <si>
    <t>OPD</t>
  </si>
  <si>
    <t>KPI</t>
  </si>
  <si>
    <t>Total Revenue</t>
  </si>
  <si>
    <t>Total Patient</t>
  </si>
  <si>
    <t>Insured Patient</t>
  </si>
  <si>
    <t>Uninsured Patient</t>
  </si>
  <si>
    <t>Average Bill Value</t>
  </si>
  <si>
    <t>OPD Revenue</t>
  </si>
  <si>
    <t>IPD Revenue</t>
  </si>
  <si>
    <t>Patient_ID</t>
  </si>
  <si>
    <t>Visit_Date</t>
  </si>
  <si>
    <t>Dept_ID</t>
  </si>
  <si>
    <t>Doctor_ID</t>
  </si>
  <si>
    <t>Bill_Amount</t>
  </si>
  <si>
    <t>Payment_Mode</t>
  </si>
  <si>
    <t>City</t>
  </si>
  <si>
    <t>Age</t>
  </si>
  <si>
    <t>Consultation Fee</t>
  </si>
  <si>
    <t>P001</t>
  </si>
  <si>
    <t>DEP01</t>
  </si>
  <si>
    <t>D01</t>
  </si>
  <si>
    <t>Cash</t>
  </si>
  <si>
    <t>Delhi</t>
  </si>
  <si>
    <t>P002</t>
  </si>
  <si>
    <t>DEP02</t>
  </si>
  <si>
    <t>D02</t>
  </si>
  <si>
    <t>UPI</t>
  </si>
  <si>
    <t>Mumbai</t>
  </si>
  <si>
    <t>P003</t>
  </si>
  <si>
    <t>DEP03</t>
  </si>
  <si>
    <t>D03</t>
  </si>
  <si>
    <t>Card</t>
  </si>
  <si>
    <t>Chennai</t>
  </si>
  <si>
    <t>P004</t>
  </si>
  <si>
    <t>P005</t>
  </si>
  <si>
    <t>DEP04</t>
  </si>
  <si>
    <t>D04</t>
  </si>
  <si>
    <t>Pune</t>
  </si>
  <si>
    <t>P006</t>
  </si>
  <si>
    <t>P007</t>
  </si>
  <si>
    <t>P008</t>
  </si>
  <si>
    <t>DEP05</t>
  </si>
  <si>
    <t>D05</t>
  </si>
  <si>
    <t>Hyderabad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</si>
  <si>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</si>
  <si>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</si>
  <si>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</si>
  <si>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</si>
  <si>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</si>
  <si>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</si>
  <si>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</si>
  <si>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</si>
  <si>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</si>
  <si>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</si>
  <si>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</si>
  <si>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</si>
  <si>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</si>
  <si>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</si>
  <si>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</si>
  <si>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</si>
  <si>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</si>
  <si>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</si>
  <si>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</si>
  <si>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</si>
  <si>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</si>
  <si>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</si>
  <si>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</si>
  <si>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</si>
  <si>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</si>
  <si>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</si>
  <si>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</si>
  <si>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</si>
  <si>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</si>
  <si>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13-01-2025</t>
  </si>
  <si>
    <t>P038</t>
  </si>
  <si>
    <t>P039</t>
  </si>
  <si>
    <t>P040</t>
  </si>
  <si>
    <t>14-01-2025</t>
  </si>
  <si>
    <t>P041</t>
  </si>
  <si>
    <t>P042</t>
  </si>
  <si>
    <t>P043</t>
  </si>
  <si>
    <t>15-01-2025</t>
  </si>
  <si>
    <t>P044</t>
  </si>
  <si>
    <t>P045</t>
  </si>
  <si>
    <t>P046</t>
  </si>
  <si>
    <t>16-01-2025</t>
  </si>
  <si>
    <t>P047</t>
  </si>
  <si>
    <t>P048</t>
  </si>
  <si>
    <t>P049</t>
  </si>
  <si>
    <t>17-01-2025</t>
  </si>
  <si>
    <t>P050</t>
  </si>
  <si>
    <t>P051</t>
  </si>
  <si>
    <t>P052</t>
  </si>
  <si>
    <t>18-01-2025</t>
  </si>
  <si>
    <t>P053</t>
  </si>
  <si>
    <t>P054</t>
  </si>
  <si>
    <t>P055</t>
  </si>
  <si>
    <t>19-01-2025</t>
  </si>
  <si>
    <t>P056</t>
  </si>
  <si>
    <t>P057</t>
  </si>
  <si>
    <t>P058</t>
  </si>
  <si>
    <t>20-01-2025</t>
  </si>
  <si>
    <t>P059</t>
  </si>
  <si>
    <t>P060</t>
  </si>
  <si>
    <t>P061</t>
  </si>
  <si>
    <t>21-01-2025</t>
  </si>
  <si>
    <t>P062</t>
  </si>
  <si>
    <t>P063</t>
  </si>
  <si>
    <t>P064</t>
  </si>
  <si>
    <t>22-01-2025</t>
  </si>
  <si>
    <t>P065</t>
  </si>
  <si>
    <t>P066</t>
  </si>
  <si>
    <t>P067</t>
  </si>
  <si>
    <t>23-01-2025</t>
  </si>
  <si>
    <t>P068</t>
  </si>
  <si>
    <t>P069</t>
  </si>
  <si>
    <t>P070</t>
  </si>
  <si>
    <t>24-01-2025</t>
  </si>
  <si>
    <t>P071</t>
  </si>
  <si>
    <t>P072</t>
  </si>
  <si>
    <t>P073</t>
  </si>
  <si>
    <t>25-01-2025</t>
  </si>
  <si>
    <t>P074</t>
  </si>
  <si>
    <t>P075</t>
  </si>
  <si>
    <t>P076</t>
  </si>
  <si>
    <t>26-01-2025</t>
  </si>
  <si>
    <t>P077</t>
  </si>
  <si>
    <t>P078</t>
  </si>
  <si>
    <t>P079</t>
  </si>
  <si>
    <t>27-01-2025</t>
  </si>
  <si>
    <t>P080</t>
  </si>
  <si>
    <t>P081</t>
  </si>
  <si>
    <t>P082</t>
  </si>
  <si>
    <t>28-01-2025</t>
  </si>
  <si>
    <t>P083</t>
  </si>
  <si>
    <t>P084</t>
  </si>
  <si>
    <t>P085</t>
  </si>
  <si>
    <t>29-01-2025</t>
  </si>
  <si>
    <t>P086</t>
  </si>
  <si>
    <t>P087</t>
  </si>
  <si>
    <t>P088</t>
  </si>
  <si>
    <t>30-01-2025</t>
  </si>
  <si>
    <t>P089</t>
  </si>
  <si>
    <t>P090</t>
  </si>
  <si>
    <t>P091</t>
  </si>
  <si>
    <t>31-01-2025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</si>
  <si>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</si>
  <si>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</si>
  <si>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</si>
  <si>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</si>
  <si>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</si>
  <si>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</si>
  <si>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</si>
  <si>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</si>
  <si>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</si>
  <si>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Department_Name</t>
  </si>
  <si>
    <t>Doctor_Name</t>
  </si>
  <si>
    <t>Consultation_Fee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</si>
</sst>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Pivot Table, Pivot Charts, Slicers.xlsx]Pivot4!PivotTable4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Pivot4!$A$4:$A$6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Pivot4!$B$4:$B$6</c:f>
              <c:numCache>
                <c:formatCode>General</c:formatCode>
                <c:ptCount val="2"/>
                <c:pt idx="0">
                  <c:v>72200</c:v>
                </c:pt>
                <c:pt idx="1">
                  <c:v>73700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B-4F51-815D-3C2A7AF5E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287368"/>
        <c:axId val="1553137672"/>
      </c:barChart>
      <c:catAx>
        <c:axId val="157428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137672"/>
        <c:crosses val="autoZero"/>
        <c:auto val="1"/>
        <c:lblAlgn val="ctr"/>
        <c:lblOffset val="100"/>
        <c:noMultiLvlLbl val="0"/>
      </c:catAx>
      <c:valAx>
        <c:axId val="155313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8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Pivot Table, Pivot Charts, Slicers.xlsx]Pivot3!PivotTable3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</c:pivotFmt>
      <c:pivotFmt>
        <c:idx val="3"/>
        <c:spPr>
          <a:solidFill>
            <a:srgbClr val="637CEF"/>
          </a:solidFill>
          <a:ln>
            <a:noFill/>
          </a:ln>
          <a:effectLst/>
        </c:spPr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</c:pivotFmt>
      <c:pivotFmt>
        <c:idx val="6"/>
        <c:spPr>
          <a:solidFill>
            <a:srgbClr val="637CEF"/>
          </a:solidFill>
          <a:ln>
            <a:noFill/>
          </a:ln>
          <a:effectLst/>
        </c:spPr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</c:pivotFmt>
      <c:pivotFmt>
        <c:idx val="9"/>
        <c:spPr>
          <a:solidFill>
            <a:srgbClr val="637CEF"/>
          </a:solidFill>
          <a:ln>
            <a:noFill/>
          </a:ln>
          <a:effectLst/>
        </c:spP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B9-49B6-92B3-C95205632902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B9-49B6-92B3-C95205632902}"/>
              </c:ext>
            </c:extLst>
          </c:dPt>
          <c:cat>
            <c:strRef>
              <c:f>Pivot3!$A$4:$A$6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Pivot3!$B$4:$B$6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B9-49B6-92B3-C95205632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Pivot Table, Pivot Charts, Slicers.xlsx]Pivot2!PivotTable2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Pivot2!$A$4:$A$9</c:f>
              <c:strCache>
                <c:ptCount val="5"/>
                <c:pt idx="0">
                  <c:v>Cardiology</c:v>
                </c:pt>
                <c:pt idx="1">
                  <c:v>General</c:v>
                </c:pt>
                <c:pt idx="2">
                  <c:v>Neurology</c:v>
                </c:pt>
                <c:pt idx="3">
                  <c:v>Orthopedics</c:v>
                </c:pt>
                <c:pt idx="4">
                  <c:v>Surgery</c:v>
                </c:pt>
              </c:strCache>
            </c:strRef>
          </c:cat>
          <c:val>
            <c:numRef>
              <c:f>Pivot2!$B$4:$B$9</c:f>
              <c:numCache>
                <c:formatCode>General</c:formatCode>
                <c:ptCount val="5"/>
                <c:pt idx="0">
                  <c:v>31500</c:v>
                </c:pt>
                <c:pt idx="1">
                  <c:v>15200</c:v>
                </c:pt>
                <c:pt idx="2">
                  <c:v>36000</c:v>
                </c:pt>
                <c:pt idx="3">
                  <c:v>25200</c:v>
                </c:pt>
                <c:pt idx="4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7-4922-A80F-CDD67FB91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1533064"/>
        <c:axId val="573646343"/>
      </c:barChart>
      <c:catAx>
        <c:axId val="1831533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46343"/>
        <c:crosses val="autoZero"/>
        <c:auto val="1"/>
        <c:lblAlgn val="ctr"/>
        <c:lblOffset val="100"/>
        <c:noMultiLvlLbl val="0"/>
      </c:catAx>
      <c:valAx>
        <c:axId val="57364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3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Pivot Table, Pivot Charts, Slicers.xlsx]Pivot1!PivotTable1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Pivot1!$A$4:$A$9</c:f>
              <c:strCache>
                <c:ptCount val="5"/>
                <c:pt idx="0">
                  <c:v>Dr Iyer</c:v>
                </c:pt>
                <c:pt idx="1">
                  <c:v>Dr Khan</c:v>
                </c:pt>
                <c:pt idx="2">
                  <c:v>Dr Mehta</c:v>
                </c:pt>
                <c:pt idx="3">
                  <c:v>Dr Rao</c:v>
                </c:pt>
                <c:pt idx="4">
                  <c:v>Dr Sharma</c:v>
                </c:pt>
              </c:strCache>
            </c:strRef>
          </c:cat>
          <c:val>
            <c:numRef>
              <c:f>Pivot1!$B$4:$B$9</c:f>
              <c:numCache>
                <c:formatCode>General</c:formatCode>
                <c:ptCount val="5"/>
                <c:pt idx="0">
                  <c:v>38000</c:v>
                </c:pt>
                <c:pt idx="1">
                  <c:v>15200</c:v>
                </c:pt>
                <c:pt idx="2">
                  <c:v>25200</c:v>
                </c:pt>
                <c:pt idx="3">
                  <c:v>36000</c:v>
                </c:pt>
                <c:pt idx="4">
                  <c:v>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4-4F67-9660-3B623ADE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546120"/>
        <c:axId val="2056190471"/>
      </c:barChart>
      <c:catAx>
        <c:axId val="135554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190471"/>
        <c:crosses val="autoZero"/>
        <c:auto val="1"/>
        <c:lblAlgn val="ctr"/>
        <c:lblOffset val="100"/>
        <c:noMultiLvlLbl val="0"/>
      </c:catAx>
      <c:valAx>
        <c:axId val="2056190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54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1</xdr:row>
      <xdr:rowOff>19050</xdr:rowOff>
    </xdr:from>
    <xdr:to>
      <xdr:col>8</xdr:col>
      <xdr:colOff>533400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nsurance">
              <a:extLst>
                <a:ext uri="{FF2B5EF4-FFF2-40B4-BE49-F238E27FC236}">
                  <a16:creationId xmlns:a16="http://schemas.microsoft.com/office/drawing/2014/main" id="{00463748-17BD-D987-E6C4-9620064DF5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ur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209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38100</xdr:colOff>
      <xdr:row>0</xdr:row>
      <xdr:rowOff>180975</xdr:rowOff>
    </xdr:from>
    <xdr:to>
      <xdr:col>12</xdr:col>
      <xdr:colOff>38100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dmission_Type">
              <a:extLst>
                <a:ext uri="{FF2B5EF4-FFF2-40B4-BE49-F238E27FC236}">
                  <a16:creationId xmlns:a16="http://schemas.microsoft.com/office/drawing/2014/main" id="{2BF38A06-3679-049E-8C82-E89716C0B5CD}"/>
                </a:ext>
                <a:ext uri="{147F2762-F138-4A5C-976F-8EAC2B608ADB}">
                  <a16:predDERef xmlns:a16="http://schemas.microsoft.com/office/drawing/2014/main" pred="{00463748-17BD-D987-E6C4-9620064DF5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mission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428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276225</xdr:colOff>
      <xdr:row>0</xdr:row>
      <xdr:rowOff>142875</xdr:rowOff>
    </xdr:from>
    <xdr:to>
      <xdr:col>18</xdr:col>
      <xdr:colOff>276225</xdr:colOff>
      <xdr:row>14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ity">
              <a:extLst>
                <a:ext uri="{FF2B5EF4-FFF2-40B4-BE49-F238E27FC236}">
                  <a16:creationId xmlns:a16="http://schemas.microsoft.com/office/drawing/2014/main" id="{1C6825BE-214A-872D-1CD8-23A8B8E7D6D6}"/>
                </a:ext>
                <a:ext uri="{147F2762-F138-4A5C-976F-8EAC2B608ADB}">
                  <a16:predDERef xmlns:a16="http://schemas.microsoft.com/office/drawing/2014/main" pred="{2BF38A06-3679-049E-8C82-E89716C0B5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5925" y="638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12</xdr:col>
      <xdr:colOff>171450</xdr:colOff>
      <xdr:row>0</xdr:row>
      <xdr:rowOff>161925</xdr:rowOff>
    </xdr:from>
    <xdr:to>
      <xdr:col>15</xdr:col>
      <xdr:colOff>171450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epartment Name">
              <a:extLst>
                <a:ext uri="{FF2B5EF4-FFF2-40B4-BE49-F238E27FC236}">
                  <a16:creationId xmlns:a16="http://schemas.microsoft.com/office/drawing/2014/main" id="{E1DA3F11-9CE8-5056-410E-5A2A00262B1E}"/>
                </a:ext>
                <a:ext uri="{147F2762-F138-4A5C-976F-8EAC2B608ADB}">
                  <a16:predDERef xmlns:a16="http://schemas.microsoft.com/office/drawing/2014/main" pred="{1C6825BE-214A-872D-1CD8-23A8B8E7D6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5475" y="847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409575</xdr:colOff>
      <xdr:row>1</xdr:row>
      <xdr:rowOff>47625</xdr:rowOff>
    </xdr:from>
    <xdr:to>
      <xdr:col>5</xdr:col>
      <xdr:colOff>409575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octor Name 1">
              <a:extLst>
                <a:ext uri="{FF2B5EF4-FFF2-40B4-BE49-F238E27FC236}">
                  <a16:creationId xmlns:a16="http://schemas.microsoft.com/office/drawing/2014/main" id="{A3E11220-50AD-6146-C55C-E317865AA6B1}"/>
                </a:ext>
                <a:ext uri="{147F2762-F138-4A5C-976F-8EAC2B608ADB}">
                  <a16:predDERef xmlns:a16="http://schemas.microsoft.com/office/drawing/2014/main" pred="{E1DA3F11-9CE8-5056-410E-5A2A00262B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tor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2725" y="238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-3438525</xdr:rowOff>
    </xdr:from>
    <xdr:to>
      <xdr:col>8</xdr:col>
      <xdr:colOff>152400</xdr:colOff>
      <xdr:row>0</xdr:row>
      <xdr:rowOff>-800100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octor Name">
              <a:extLst>
                <a:ext uri="{FF2B5EF4-FFF2-40B4-BE49-F238E27FC236}">
                  <a16:creationId xmlns:a16="http://schemas.microsoft.com/office/drawing/2014/main" id="{159C983F-F49B-26D5-776E-E8A471CE79BE}"/>
                </a:ext>
                <a:ext uri="{147F2762-F138-4A5C-976F-8EAC2B608ADB}">
                  <a16:predDERef xmlns:a16="http://schemas.microsoft.com/office/drawing/2014/main" pred="{F8D7CB04-6E20-33F4-54D2-DE494F263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to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6750" y="-3438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171450</xdr:rowOff>
    </xdr:from>
    <xdr:to>
      <xdr:col>5</xdr:col>
      <xdr:colOff>133350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EB18B-69CF-2109-B744-86DD37175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8</xdr:row>
      <xdr:rowOff>152400</xdr:rowOff>
    </xdr:from>
    <xdr:to>
      <xdr:col>11</xdr:col>
      <xdr:colOff>142875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15EC5-DBC2-F8CB-6B7D-C243F815F9FA}"/>
            </a:ext>
            <a:ext uri="{147F2762-F138-4A5C-976F-8EAC2B608ADB}">
              <a16:predDERef xmlns:a16="http://schemas.microsoft.com/office/drawing/2014/main" pred="{D50EB18B-69CF-2109-B744-86DD37175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542925</xdr:colOff>
      <xdr:row>8</xdr:row>
      <xdr:rowOff>171450</xdr:rowOff>
    </xdr:from>
    <xdr:to>
      <xdr:col>18</xdr:col>
      <xdr:colOff>333375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CB57E-CB12-DC36-0EF7-B80AAB413E97}"/>
            </a:ext>
            <a:ext uri="{147F2762-F138-4A5C-976F-8EAC2B608ADB}">
              <a16:predDERef xmlns:a16="http://schemas.microsoft.com/office/drawing/2014/main" pred="{C2415EC5-DBC2-F8CB-6B7D-C243F815F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104775</xdr:colOff>
      <xdr:row>9</xdr:row>
      <xdr:rowOff>0</xdr:rowOff>
    </xdr:from>
    <xdr:to>
      <xdr:col>24</xdr:col>
      <xdr:colOff>285750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AAA4BE-3470-2A26-435D-92422FA02C6D}"/>
            </a:ext>
            <a:ext uri="{147F2762-F138-4A5C-976F-8EAC2B608ADB}">
              <a16:predDERef xmlns:a16="http://schemas.microsoft.com/office/drawing/2014/main" pred="{D43CB57E-CB12-DC36-0EF7-B80AAB413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1.617859143516" createdVersion="8" refreshedVersion="8" minRefreshableVersion="3" recordCount="100" xr:uid="{2F8C8BE0-A40A-449B-9398-21622E79045B}">
  <cacheSource type="worksheet">
    <worksheetSource name="Table1"/>
  </cacheSource>
  <cacheFields count="13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Visit_Date" numFmtId="0">
      <sharedItems containsDate="1" containsMixedTypes="1" minDate="2025-01-01T00:00:00" maxDate="2025-12-02T00:00:00"/>
    </cacheField>
    <cacheField name="Dept_ID" numFmtId="0">
      <sharedItems/>
    </cacheField>
    <cacheField name="Doctor_ID" numFmtId="0">
      <sharedItems/>
    </cacheField>
    <cacheField name="Bill_Amount" numFmtId="0">
      <sharedItems containsSemiMixedTypes="0" containsString="0" containsNumber="1" containsInteger="1" minValue="800" maxValue="2000"/>
    </cacheField>
    <cacheField name="Insurance" numFmtId="0">
      <sharedItems count="2">
        <s v="Yes"/>
        <s v="No"/>
      </sharedItems>
    </cacheField>
    <cacheField name="Payment_Mode" numFmtId="0">
      <sharedItems/>
    </cacheField>
    <cacheField name="Admission_Type" numFmtId="0">
      <sharedItems count="2">
        <s v="OPD"/>
        <s v="IPD"/>
      </sharedItems>
    </cacheField>
    <cacheField name="City" numFmtId="0">
      <sharedItems count="5">
        <s v="Delhi"/>
        <s v="Mumbai"/>
        <s v="Chennai"/>
        <s v="Pune"/>
        <s v="Hyderabad"/>
      </sharedItems>
    </cacheField>
    <cacheField name="Age" numFmtId="0">
      <sharedItems containsSemiMixedTypes="0" containsString="0" containsNumber="1" containsInteger="1" minValue="26" maxValue="63"/>
    </cacheField>
    <cacheField name="Department Name" numFmtId="0">
      <sharedItems count="5">
        <s v="Cardiology"/>
        <s v="Orthopedics"/>
        <s v="Neurology"/>
        <s v="General"/>
        <s v="Surgery"/>
      </sharedItems>
    </cacheField>
    <cacheField name="Doctor Name" numFmtId="0">
      <sharedItems count="5">
        <s v="Dr Sharma"/>
        <s v="Dr Mehta"/>
        <s v="Dr Rao"/>
        <s v="Dr Khan"/>
        <s v="Dr Iyer"/>
      </sharedItems>
    </cacheField>
    <cacheField name="Consultation Fee" numFmtId="0">
      <sharedItems containsSemiMixedTypes="0" containsString="0" containsNumber="1" containsInteger="1" minValue="800" maxValue="2000"/>
    </cacheField>
  </cacheFields>
  <extLst>
    <ext xmlns:x14="http://schemas.microsoft.com/office/spreadsheetml/2009/9/main" uri="{725AE2AE-9491-48be-B2B4-4EB974FC3084}">
      <x14:pivotCacheDefinition pivotCacheId="9365690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d v="2025-01-01T00:00:00"/>
    <s v="DEP01"/>
    <s v="D01"/>
    <n v="1500"/>
    <x v="0"/>
    <s v="Cash"/>
    <x v="0"/>
    <x v="0"/>
    <n v="45"/>
    <x v="0"/>
    <x v="0"/>
    <n v="1500"/>
  </r>
  <r>
    <x v="1"/>
    <d v="2025-01-01T00:00:00"/>
    <s v="DEP02"/>
    <s v="D02"/>
    <n v="1200"/>
    <x v="1"/>
    <s v="UPI"/>
    <x v="0"/>
    <x v="1"/>
    <n v="32"/>
    <x v="1"/>
    <x v="1"/>
    <n v="1200"/>
  </r>
  <r>
    <x v="2"/>
    <d v="2025-01-01T00:00:00"/>
    <s v="DEP03"/>
    <s v="D03"/>
    <n v="1800"/>
    <x v="0"/>
    <s v="Card"/>
    <x v="0"/>
    <x v="2"/>
    <n v="56"/>
    <x v="2"/>
    <x v="2"/>
    <n v="1800"/>
  </r>
  <r>
    <x v="3"/>
    <d v="2025-02-01T00:00:00"/>
    <s v="DEP01"/>
    <s v="D01"/>
    <n v="1500"/>
    <x v="1"/>
    <s v="Cash"/>
    <x v="0"/>
    <x v="0"/>
    <n v="40"/>
    <x v="0"/>
    <x v="0"/>
    <n v="1500"/>
  </r>
  <r>
    <x v="4"/>
    <d v="2025-02-01T00:00:00"/>
    <s v="DEP04"/>
    <s v="D04"/>
    <n v="800"/>
    <x v="0"/>
    <s v="Card"/>
    <x v="0"/>
    <x v="3"/>
    <n v="28"/>
    <x v="3"/>
    <x v="3"/>
    <n v="800"/>
  </r>
  <r>
    <x v="5"/>
    <d v="2025-02-01T00:00:00"/>
    <s v="DEP02"/>
    <s v="D02"/>
    <n v="1200"/>
    <x v="0"/>
    <s v="UPI"/>
    <x v="0"/>
    <x v="1"/>
    <n v="36"/>
    <x v="1"/>
    <x v="1"/>
    <n v="1200"/>
  </r>
  <r>
    <x v="6"/>
    <d v="2025-03-01T00:00:00"/>
    <s v="DEP03"/>
    <s v="D03"/>
    <n v="1800"/>
    <x v="1"/>
    <s v="Cash"/>
    <x v="1"/>
    <x v="2"/>
    <n v="62"/>
    <x v="2"/>
    <x v="2"/>
    <n v="1800"/>
  </r>
  <r>
    <x v="7"/>
    <d v="2025-03-01T00:00:00"/>
    <s v="DEP05"/>
    <s v="D05"/>
    <n v="2000"/>
    <x v="0"/>
    <s v="Card"/>
    <x v="1"/>
    <x v="4"/>
    <n v="51"/>
    <x v="4"/>
    <x v="4"/>
    <n v="2000"/>
  </r>
  <r>
    <x v="8"/>
    <d v="2025-03-01T00:00:00"/>
    <s v="DEP01"/>
    <s v="D01"/>
    <n v="1500"/>
    <x v="1"/>
    <s v="Cash"/>
    <x v="0"/>
    <x v="0"/>
    <n v="47"/>
    <x v="0"/>
    <x v="0"/>
    <n v="1500"/>
  </r>
  <r>
    <x v="9"/>
    <d v="2025-04-01T00:00:00"/>
    <s v="DEP02"/>
    <s v="D02"/>
    <n v="1200"/>
    <x v="0"/>
    <s v="UPI"/>
    <x v="0"/>
    <x v="1"/>
    <n v="34"/>
    <x v="1"/>
    <x v="1"/>
    <n v="1200"/>
  </r>
  <r>
    <x v="10"/>
    <d v="2025-04-01T00:00:00"/>
    <s v="DEP03"/>
    <s v="D03"/>
    <n v="1800"/>
    <x v="0"/>
    <s v="Card"/>
    <x v="1"/>
    <x v="2"/>
    <n v="59"/>
    <x v="2"/>
    <x v="2"/>
    <n v="1800"/>
  </r>
  <r>
    <x v="11"/>
    <d v="2025-04-01T00:00:00"/>
    <s v="DEP04"/>
    <s v="D04"/>
    <n v="800"/>
    <x v="1"/>
    <s v="Cash"/>
    <x v="0"/>
    <x v="3"/>
    <n v="26"/>
    <x v="3"/>
    <x v="3"/>
    <n v="800"/>
  </r>
  <r>
    <x v="12"/>
    <d v="2025-05-01T00:00:00"/>
    <s v="DEP05"/>
    <s v="D05"/>
    <n v="2000"/>
    <x v="0"/>
    <s v="Card"/>
    <x v="1"/>
    <x v="4"/>
    <n v="54"/>
    <x v="4"/>
    <x v="4"/>
    <n v="2000"/>
  </r>
  <r>
    <x v="13"/>
    <d v="2025-05-01T00:00:00"/>
    <s v="DEP01"/>
    <s v="D01"/>
    <n v="1500"/>
    <x v="0"/>
    <s v="UPI"/>
    <x v="0"/>
    <x v="0"/>
    <n v="41"/>
    <x v="0"/>
    <x v="0"/>
    <n v="1500"/>
  </r>
  <r>
    <x v="14"/>
    <d v="2025-05-01T00:00:00"/>
    <s v="DEP02"/>
    <s v="D02"/>
    <n v="1200"/>
    <x v="1"/>
    <s v="Cash"/>
    <x v="0"/>
    <x v="1"/>
    <n v="37"/>
    <x v="1"/>
    <x v="1"/>
    <n v="1200"/>
  </r>
  <r>
    <x v="15"/>
    <d v="2025-06-01T00:00:00"/>
    <s v="DEP03"/>
    <s v="D03"/>
    <n v="1800"/>
    <x v="0"/>
    <s v="Card"/>
    <x v="1"/>
    <x v="2"/>
    <n v="61"/>
    <x v="2"/>
    <x v="2"/>
    <n v="1800"/>
  </r>
  <r>
    <x v="16"/>
    <d v="2025-06-01T00:00:00"/>
    <s v="DEP04"/>
    <s v="D04"/>
    <n v="800"/>
    <x v="1"/>
    <s v="UPI"/>
    <x v="0"/>
    <x v="3"/>
    <n v="29"/>
    <x v="3"/>
    <x v="3"/>
    <n v="800"/>
  </r>
  <r>
    <x v="17"/>
    <d v="2025-06-01T00:00:00"/>
    <s v="DEP05"/>
    <s v="D05"/>
    <n v="2000"/>
    <x v="0"/>
    <s v="Card"/>
    <x v="1"/>
    <x v="4"/>
    <n v="49"/>
    <x v="4"/>
    <x v="4"/>
    <n v="2000"/>
  </r>
  <r>
    <x v="18"/>
    <d v="2025-07-01T00:00:00"/>
    <s v="DEP01"/>
    <s v="D01"/>
    <n v="1500"/>
    <x v="0"/>
    <s v="Cash"/>
    <x v="0"/>
    <x v="0"/>
    <n v="44"/>
    <x v="0"/>
    <x v="0"/>
    <n v="1500"/>
  </r>
  <r>
    <x v="19"/>
    <d v="2025-07-01T00:00:00"/>
    <s v="DEP02"/>
    <s v="D02"/>
    <n v="1200"/>
    <x v="1"/>
    <s v="UPI"/>
    <x v="0"/>
    <x v="1"/>
    <n v="33"/>
    <x v="1"/>
    <x v="1"/>
    <n v="1200"/>
  </r>
  <r>
    <x v="20"/>
    <d v="2025-07-01T00:00:00"/>
    <s v="DEP03"/>
    <s v="D03"/>
    <n v="1800"/>
    <x v="0"/>
    <s v="Card"/>
    <x v="1"/>
    <x v="2"/>
    <n v="58"/>
    <x v="2"/>
    <x v="2"/>
    <n v="1800"/>
  </r>
  <r>
    <x v="21"/>
    <d v="2025-08-01T00:00:00"/>
    <s v="DEP04"/>
    <s v="D04"/>
    <n v="800"/>
    <x v="1"/>
    <s v="Cash"/>
    <x v="0"/>
    <x v="3"/>
    <n v="27"/>
    <x v="3"/>
    <x v="3"/>
    <n v="800"/>
  </r>
  <r>
    <x v="22"/>
    <d v="2025-08-01T00:00:00"/>
    <s v="DEP05"/>
    <s v="D05"/>
    <n v="2000"/>
    <x v="0"/>
    <s v="Card"/>
    <x v="1"/>
    <x v="4"/>
    <n v="52"/>
    <x v="4"/>
    <x v="4"/>
    <n v="2000"/>
  </r>
  <r>
    <x v="23"/>
    <d v="2025-08-01T00:00:00"/>
    <s v="DEP01"/>
    <s v="D01"/>
    <n v="1500"/>
    <x v="1"/>
    <s v="UPI"/>
    <x v="0"/>
    <x v="0"/>
    <n v="46"/>
    <x v="0"/>
    <x v="0"/>
    <n v="1500"/>
  </r>
  <r>
    <x v="24"/>
    <d v="2025-09-01T00:00:00"/>
    <s v="DEP02"/>
    <s v="D02"/>
    <n v="1200"/>
    <x v="0"/>
    <s v="Cash"/>
    <x v="0"/>
    <x v="1"/>
    <n v="35"/>
    <x v="1"/>
    <x v="1"/>
    <n v="1200"/>
  </r>
  <r>
    <x v="25"/>
    <d v="2025-09-01T00:00:00"/>
    <s v="DEP03"/>
    <s v="D03"/>
    <n v="1800"/>
    <x v="0"/>
    <s v="Card"/>
    <x v="1"/>
    <x v="2"/>
    <n v="60"/>
    <x v="2"/>
    <x v="2"/>
    <n v="1800"/>
  </r>
  <r>
    <x v="26"/>
    <d v="2025-09-01T00:00:00"/>
    <s v="DEP04"/>
    <s v="D04"/>
    <n v="800"/>
    <x v="1"/>
    <s v="UPI"/>
    <x v="0"/>
    <x v="3"/>
    <n v="31"/>
    <x v="3"/>
    <x v="3"/>
    <n v="800"/>
  </r>
  <r>
    <x v="27"/>
    <d v="2025-10-01T00:00:00"/>
    <s v="DEP05"/>
    <s v="D05"/>
    <n v="2000"/>
    <x v="0"/>
    <s v="Card"/>
    <x v="1"/>
    <x v="4"/>
    <n v="55"/>
    <x v="4"/>
    <x v="4"/>
    <n v="2000"/>
  </r>
  <r>
    <x v="28"/>
    <d v="2025-10-01T00:00:00"/>
    <s v="DEP01"/>
    <s v="D01"/>
    <n v="1500"/>
    <x v="0"/>
    <s v="Cash"/>
    <x v="0"/>
    <x v="0"/>
    <n v="42"/>
    <x v="0"/>
    <x v="0"/>
    <n v="1500"/>
  </r>
  <r>
    <x v="29"/>
    <d v="2025-10-01T00:00:00"/>
    <s v="DEP02"/>
    <s v="D02"/>
    <n v="1200"/>
    <x v="1"/>
    <s v="UPI"/>
    <x v="0"/>
    <x v="1"/>
    <n v="34"/>
    <x v="1"/>
    <x v="1"/>
    <n v="1200"/>
  </r>
  <r>
    <x v="30"/>
    <d v="2025-11-01T00:00:00"/>
    <s v="DEP03"/>
    <s v="D03"/>
    <n v="1800"/>
    <x v="0"/>
    <s v="Card"/>
    <x v="1"/>
    <x v="2"/>
    <n v="57"/>
    <x v="2"/>
    <x v="2"/>
    <n v="1800"/>
  </r>
  <r>
    <x v="31"/>
    <d v="2025-11-01T00:00:00"/>
    <s v="DEP04"/>
    <s v="D04"/>
    <n v="800"/>
    <x v="1"/>
    <s v="Cash"/>
    <x v="0"/>
    <x v="3"/>
    <n v="26"/>
    <x v="3"/>
    <x v="3"/>
    <n v="800"/>
  </r>
  <r>
    <x v="32"/>
    <d v="2025-11-01T00:00:00"/>
    <s v="DEP05"/>
    <s v="D05"/>
    <n v="2000"/>
    <x v="0"/>
    <s v="Card"/>
    <x v="1"/>
    <x v="4"/>
    <n v="50"/>
    <x v="4"/>
    <x v="4"/>
    <n v="2000"/>
  </r>
  <r>
    <x v="33"/>
    <d v="2025-12-01T00:00:00"/>
    <s v="DEP01"/>
    <s v="D01"/>
    <n v="1500"/>
    <x v="1"/>
    <s v="UPI"/>
    <x v="0"/>
    <x v="0"/>
    <n v="48"/>
    <x v="0"/>
    <x v="0"/>
    <n v="1500"/>
  </r>
  <r>
    <x v="34"/>
    <d v="2025-12-01T00:00:00"/>
    <s v="DEP02"/>
    <s v="D02"/>
    <n v="1200"/>
    <x v="0"/>
    <s v="Cash"/>
    <x v="0"/>
    <x v="1"/>
    <n v="36"/>
    <x v="1"/>
    <x v="1"/>
    <n v="1200"/>
  </r>
  <r>
    <x v="35"/>
    <d v="2025-12-01T00:00:00"/>
    <s v="DEP03"/>
    <s v="D03"/>
    <n v="1800"/>
    <x v="0"/>
    <s v="Card"/>
    <x v="1"/>
    <x v="2"/>
    <n v="63"/>
    <x v="2"/>
    <x v="2"/>
    <n v="1800"/>
  </r>
  <r>
    <x v="36"/>
    <s v="13-01-2025"/>
    <s v="DEP04"/>
    <s v="D04"/>
    <n v="800"/>
    <x v="1"/>
    <s v="UPI"/>
    <x v="0"/>
    <x v="3"/>
    <n v="29"/>
    <x v="3"/>
    <x v="3"/>
    <n v="800"/>
  </r>
  <r>
    <x v="37"/>
    <s v="13-01-2025"/>
    <s v="DEP05"/>
    <s v="D05"/>
    <n v="2000"/>
    <x v="0"/>
    <s v="Card"/>
    <x v="1"/>
    <x v="4"/>
    <n v="53"/>
    <x v="4"/>
    <x v="4"/>
    <n v="2000"/>
  </r>
  <r>
    <x v="38"/>
    <s v="13-01-2025"/>
    <s v="DEP01"/>
    <s v="D01"/>
    <n v="1500"/>
    <x v="0"/>
    <s v="Cash"/>
    <x v="0"/>
    <x v="0"/>
    <n v="43"/>
    <x v="0"/>
    <x v="0"/>
    <n v="1500"/>
  </r>
  <r>
    <x v="39"/>
    <s v="14-01-2025"/>
    <s v="DEP02"/>
    <s v="D02"/>
    <n v="1200"/>
    <x v="1"/>
    <s v="UPI"/>
    <x v="0"/>
    <x v="1"/>
    <n v="35"/>
    <x v="1"/>
    <x v="1"/>
    <n v="1200"/>
  </r>
  <r>
    <x v="40"/>
    <s v="14-01-2025"/>
    <s v="DEP03"/>
    <s v="D03"/>
    <n v="1800"/>
    <x v="0"/>
    <s v="Card"/>
    <x v="1"/>
    <x v="2"/>
    <n v="58"/>
    <x v="2"/>
    <x v="2"/>
    <n v="1800"/>
  </r>
  <r>
    <x v="41"/>
    <s v="14-01-2025"/>
    <s v="DEP04"/>
    <s v="D04"/>
    <n v="800"/>
    <x v="1"/>
    <s v="Cash"/>
    <x v="0"/>
    <x v="3"/>
    <n v="28"/>
    <x v="3"/>
    <x v="3"/>
    <n v="800"/>
  </r>
  <r>
    <x v="42"/>
    <s v="15-01-2025"/>
    <s v="DEP05"/>
    <s v="D05"/>
    <n v="2000"/>
    <x v="0"/>
    <s v="Card"/>
    <x v="1"/>
    <x v="4"/>
    <n v="54"/>
    <x v="4"/>
    <x v="4"/>
    <n v="2000"/>
  </r>
  <r>
    <x v="43"/>
    <s v="15-01-2025"/>
    <s v="DEP01"/>
    <s v="D01"/>
    <n v="1500"/>
    <x v="1"/>
    <s v="UPI"/>
    <x v="0"/>
    <x v="0"/>
    <n v="46"/>
    <x v="0"/>
    <x v="0"/>
    <n v="1500"/>
  </r>
  <r>
    <x v="44"/>
    <s v="15-01-2025"/>
    <s v="DEP02"/>
    <s v="D02"/>
    <n v="1200"/>
    <x v="0"/>
    <s v="Cash"/>
    <x v="0"/>
    <x v="1"/>
    <n v="37"/>
    <x v="1"/>
    <x v="1"/>
    <n v="1200"/>
  </r>
  <r>
    <x v="45"/>
    <s v="16-01-2025"/>
    <s v="DEP03"/>
    <s v="D03"/>
    <n v="1800"/>
    <x v="0"/>
    <s v="Card"/>
    <x v="1"/>
    <x v="2"/>
    <n v="60"/>
    <x v="2"/>
    <x v="2"/>
    <n v="1800"/>
  </r>
  <r>
    <x v="46"/>
    <s v="16-01-2025"/>
    <s v="DEP04"/>
    <s v="D04"/>
    <n v="800"/>
    <x v="1"/>
    <s v="UPI"/>
    <x v="0"/>
    <x v="3"/>
    <n v="30"/>
    <x v="3"/>
    <x v="3"/>
    <n v="800"/>
  </r>
  <r>
    <x v="47"/>
    <s v="16-01-2025"/>
    <s v="DEP05"/>
    <s v="D05"/>
    <n v="2000"/>
    <x v="0"/>
    <s v="Card"/>
    <x v="1"/>
    <x v="4"/>
    <n v="51"/>
    <x v="4"/>
    <x v="4"/>
    <n v="2000"/>
  </r>
  <r>
    <x v="48"/>
    <s v="17-01-2025"/>
    <s v="DEP01"/>
    <s v="D01"/>
    <n v="1500"/>
    <x v="0"/>
    <s v="Cash"/>
    <x v="0"/>
    <x v="0"/>
    <n v="44"/>
    <x v="0"/>
    <x v="0"/>
    <n v="1500"/>
  </r>
  <r>
    <x v="49"/>
    <s v="17-01-2025"/>
    <s v="DEP02"/>
    <s v="D02"/>
    <n v="1200"/>
    <x v="1"/>
    <s v="UPI"/>
    <x v="0"/>
    <x v="1"/>
    <n v="33"/>
    <x v="1"/>
    <x v="1"/>
    <n v="1200"/>
  </r>
  <r>
    <x v="50"/>
    <s v="17-01-2025"/>
    <s v="DEP03"/>
    <s v="D03"/>
    <n v="1800"/>
    <x v="0"/>
    <s v="Card"/>
    <x v="1"/>
    <x v="2"/>
    <n v="59"/>
    <x v="2"/>
    <x v="2"/>
    <n v="1800"/>
  </r>
  <r>
    <x v="51"/>
    <s v="18-01-2025"/>
    <s v="DEP04"/>
    <s v="D04"/>
    <n v="800"/>
    <x v="1"/>
    <s v="Cash"/>
    <x v="0"/>
    <x v="3"/>
    <n v="27"/>
    <x v="3"/>
    <x v="3"/>
    <n v="800"/>
  </r>
  <r>
    <x v="52"/>
    <s v="18-01-2025"/>
    <s v="DEP05"/>
    <s v="D05"/>
    <n v="2000"/>
    <x v="0"/>
    <s v="Card"/>
    <x v="1"/>
    <x v="4"/>
    <n v="52"/>
    <x v="4"/>
    <x v="4"/>
    <n v="2000"/>
  </r>
  <r>
    <x v="53"/>
    <s v="18-01-2025"/>
    <s v="DEP01"/>
    <s v="D01"/>
    <n v="1500"/>
    <x v="1"/>
    <s v="UPI"/>
    <x v="0"/>
    <x v="0"/>
    <n v="45"/>
    <x v="0"/>
    <x v="0"/>
    <n v="1500"/>
  </r>
  <r>
    <x v="54"/>
    <s v="19-01-2025"/>
    <s v="DEP02"/>
    <s v="D02"/>
    <n v="1200"/>
    <x v="0"/>
    <s v="Cash"/>
    <x v="0"/>
    <x v="1"/>
    <n v="34"/>
    <x v="1"/>
    <x v="1"/>
    <n v="1200"/>
  </r>
  <r>
    <x v="55"/>
    <s v="19-01-2025"/>
    <s v="DEP03"/>
    <s v="D03"/>
    <n v="1800"/>
    <x v="0"/>
    <s v="Card"/>
    <x v="1"/>
    <x v="2"/>
    <n v="61"/>
    <x v="2"/>
    <x v="2"/>
    <n v="1800"/>
  </r>
  <r>
    <x v="56"/>
    <s v="19-01-2025"/>
    <s v="DEP04"/>
    <s v="D04"/>
    <n v="800"/>
    <x v="1"/>
    <s v="UPI"/>
    <x v="0"/>
    <x v="3"/>
    <n v="28"/>
    <x v="3"/>
    <x v="3"/>
    <n v="800"/>
  </r>
  <r>
    <x v="57"/>
    <s v="20-01-2025"/>
    <s v="DEP05"/>
    <s v="D05"/>
    <n v="2000"/>
    <x v="0"/>
    <s v="Card"/>
    <x v="1"/>
    <x v="4"/>
    <n v="53"/>
    <x v="4"/>
    <x v="4"/>
    <n v="2000"/>
  </r>
  <r>
    <x v="58"/>
    <s v="20-01-2025"/>
    <s v="DEP01"/>
    <s v="D01"/>
    <n v="1500"/>
    <x v="0"/>
    <s v="Cash"/>
    <x v="0"/>
    <x v="0"/>
    <n v="43"/>
    <x v="0"/>
    <x v="0"/>
    <n v="1500"/>
  </r>
  <r>
    <x v="59"/>
    <s v="20-01-2025"/>
    <s v="DEP02"/>
    <s v="D02"/>
    <n v="1200"/>
    <x v="1"/>
    <s v="UPI"/>
    <x v="0"/>
    <x v="1"/>
    <n v="36"/>
    <x v="1"/>
    <x v="1"/>
    <n v="1200"/>
  </r>
  <r>
    <x v="60"/>
    <s v="21-01-2025"/>
    <s v="DEP03"/>
    <s v="D03"/>
    <n v="1800"/>
    <x v="0"/>
    <s v="Card"/>
    <x v="1"/>
    <x v="2"/>
    <n v="58"/>
    <x v="2"/>
    <x v="2"/>
    <n v="1800"/>
  </r>
  <r>
    <x v="61"/>
    <s v="21-01-2025"/>
    <s v="DEP04"/>
    <s v="D04"/>
    <n v="800"/>
    <x v="1"/>
    <s v="Cash"/>
    <x v="0"/>
    <x v="3"/>
    <n v="29"/>
    <x v="3"/>
    <x v="3"/>
    <n v="800"/>
  </r>
  <r>
    <x v="62"/>
    <s v="21-01-2025"/>
    <s v="DEP05"/>
    <s v="D05"/>
    <n v="2000"/>
    <x v="0"/>
    <s v="Card"/>
    <x v="1"/>
    <x v="4"/>
    <n v="54"/>
    <x v="4"/>
    <x v="4"/>
    <n v="2000"/>
  </r>
  <r>
    <x v="63"/>
    <s v="22-01-2025"/>
    <s v="DEP01"/>
    <s v="D01"/>
    <n v="1500"/>
    <x v="1"/>
    <s v="UPI"/>
    <x v="0"/>
    <x v="0"/>
    <n v="46"/>
    <x v="0"/>
    <x v="0"/>
    <n v="1500"/>
  </r>
  <r>
    <x v="64"/>
    <s v="22-01-2025"/>
    <s v="DEP02"/>
    <s v="D02"/>
    <n v="1200"/>
    <x v="0"/>
    <s v="Cash"/>
    <x v="0"/>
    <x v="1"/>
    <n v="35"/>
    <x v="1"/>
    <x v="1"/>
    <n v="1200"/>
  </r>
  <r>
    <x v="65"/>
    <s v="22-01-2025"/>
    <s v="DEP03"/>
    <s v="D03"/>
    <n v="1800"/>
    <x v="0"/>
    <s v="Card"/>
    <x v="1"/>
    <x v="2"/>
    <n v="60"/>
    <x v="2"/>
    <x v="2"/>
    <n v="1800"/>
  </r>
  <r>
    <x v="66"/>
    <s v="23-01-2025"/>
    <s v="DEP04"/>
    <s v="D04"/>
    <n v="800"/>
    <x v="1"/>
    <s v="UPI"/>
    <x v="0"/>
    <x v="3"/>
    <n v="30"/>
    <x v="3"/>
    <x v="3"/>
    <n v="800"/>
  </r>
  <r>
    <x v="67"/>
    <s v="23-01-2025"/>
    <s v="DEP05"/>
    <s v="D05"/>
    <n v="2000"/>
    <x v="0"/>
    <s v="Card"/>
    <x v="1"/>
    <x v="4"/>
    <n v="52"/>
    <x v="4"/>
    <x v="4"/>
    <n v="2000"/>
  </r>
  <r>
    <x v="68"/>
    <s v="23-01-2025"/>
    <s v="DEP01"/>
    <s v="D01"/>
    <n v="1500"/>
    <x v="0"/>
    <s v="Cash"/>
    <x v="0"/>
    <x v="0"/>
    <n v="44"/>
    <x v="0"/>
    <x v="0"/>
    <n v="1500"/>
  </r>
  <r>
    <x v="69"/>
    <s v="24-01-2025"/>
    <s v="DEP02"/>
    <s v="D02"/>
    <n v="1200"/>
    <x v="1"/>
    <s v="UPI"/>
    <x v="0"/>
    <x v="1"/>
    <n v="33"/>
    <x v="1"/>
    <x v="1"/>
    <n v="1200"/>
  </r>
  <r>
    <x v="70"/>
    <s v="24-01-2025"/>
    <s v="DEP03"/>
    <s v="D03"/>
    <n v="1800"/>
    <x v="0"/>
    <s v="Card"/>
    <x v="1"/>
    <x v="2"/>
    <n v="59"/>
    <x v="2"/>
    <x v="2"/>
    <n v="1800"/>
  </r>
  <r>
    <x v="71"/>
    <s v="24-01-2025"/>
    <s v="DEP04"/>
    <s v="D04"/>
    <n v="800"/>
    <x v="1"/>
    <s v="Cash"/>
    <x v="0"/>
    <x v="3"/>
    <n v="28"/>
    <x v="3"/>
    <x v="3"/>
    <n v="800"/>
  </r>
  <r>
    <x v="72"/>
    <s v="25-01-2025"/>
    <s v="DEP05"/>
    <s v="D05"/>
    <n v="2000"/>
    <x v="0"/>
    <s v="Card"/>
    <x v="1"/>
    <x v="4"/>
    <n v="55"/>
    <x v="4"/>
    <x v="4"/>
    <n v="2000"/>
  </r>
  <r>
    <x v="73"/>
    <s v="25-01-2025"/>
    <s v="DEP01"/>
    <s v="D01"/>
    <n v="1500"/>
    <x v="1"/>
    <s v="UPI"/>
    <x v="0"/>
    <x v="0"/>
    <n v="47"/>
    <x v="0"/>
    <x v="0"/>
    <n v="1500"/>
  </r>
  <r>
    <x v="74"/>
    <s v="25-01-2025"/>
    <s v="DEP02"/>
    <s v="D02"/>
    <n v="1200"/>
    <x v="0"/>
    <s v="Cash"/>
    <x v="0"/>
    <x v="1"/>
    <n v="36"/>
    <x v="1"/>
    <x v="1"/>
    <n v="1200"/>
  </r>
  <r>
    <x v="75"/>
    <s v="26-01-2025"/>
    <s v="DEP03"/>
    <s v="D03"/>
    <n v="1800"/>
    <x v="0"/>
    <s v="Card"/>
    <x v="1"/>
    <x v="2"/>
    <n v="61"/>
    <x v="2"/>
    <x v="2"/>
    <n v="1800"/>
  </r>
  <r>
    <x v="76"/>
    <s v="26-01-2025"/>
    <s v="DEP04"/>
    <s v="D04"/>
    <n v="800"/>
    <x v="1"/>
    <s v="UPI"/>
    <x v="0"/>
    <x v="3"/>
    <n v="29"/>
    <x v="3"/>
    <x v="3"/>
    <n v="800"/>
  </r>
  <r>
    <x v="77"/>
    <s v="26-01-2025"/>
    <s v="DEP05"/>
    <s v="D05"/>
    <n v="2000"/>
    <x v="0"/>
    <s v="Card"/>
    <x v="1"/>
    <x v="4"/>
    <n v="53"/>
    <x v="4"/>
    <x v="4"/>
    <n v="2000"/>
  </r>
  <r>
    <x v="78"/>
    <s v="27-01-2025"/>
    <s v="DEP01"/>
    <s v="D01"/>
    <n v="1500"/>
    <x v="0"/>
    <s v="Cash"/>
    <x v="0"/>
    <x v="0"/>
    <n v="45"/>
    <x v="0"/>
    <x v="0"/>
    <n v="1500"/>
  </r>
  <r>
    <x v="79"/>
    <s v="27-01-2025"/>
    <s v="DEP02"/>
    <s v="D02"/>
    <n v="1200"/>
    <x v="1"/>
    <s v="UPI"/>
    <x v="0"/>
    <x v="1"/>
    <n v="34"/>
    <x v="1"/>
    <x v="1"/>
    <n v="1200"/>
  </r>
  <r>
    <x v="80"/>
    <s v="27-01-2025"/>
    <s v="DEP03"/>
    <s v="D03"/>
    <n v="1800"/>
    <x v="0"/>
    <s v="Card"/>
    <x v="1"/>
    <x v="2"/>
    <n v="58"/>
    <x v="2"/>
    <x v="2"/>
    <n v="1800"/>
  </r>
  <r>
    <x v="81"/>
    <s v="28-01-2025"/>
    <s v="DEP04"/>
    <s v="D04"/>
    <n v="800"/>
    <x v="1"/>
    <s v="Cash"/>
    <x v="0"/>
    <x v="3"/>
    <n v="27"/>
    <x v="3"/>
    <x v="3"/>
    <n v="800"/>
  </r>
  <r>
    <x v="82"/>
    <s v="28-01-2025"/>
    <s v="DEP05"/>
    <s v="D05"/>
    <n v="2000"/>
    <x v="0"/>
    <s v="Card"/>
    <x v="1"/>
    <x v="4"/>
    <n v="54"/>
    <x v="4"/>
    <x v="4"/>
    <n v="2000"/>
  </r>
  <r>
    <x v="83"/>
    <s v="28-01-2025"/>
    <s v="DEP01"/>
    <s v="D01"/>
    <n v="1500"/>
    <x v="1"/>
    <s v="UPI"/>
    <x v="0"/>
    <x v="0"/>
    <n v="46"/>
    <x v="0"/>
    <x v="0"/>
    <n v="1500"/>
  </r>
  <r>
    <x v="84"/>
    <s v="29-01-2025"/>
    <s v="DEP02"/>
    <s v="D02"/>
    <n v="1200"/>
    <x v="0"/>
    <s v="Cash"/>
    <x v="0"/>
    <x v="1"/>
    <n v="35"/>
    <x v="1"/>
    <x v="1"/>
    <n v="1200"/>
  </r>
  <r>
    <x v="85"/>
    <s v="29-01-2025"/>
    <s v="DEP03"/>
    <s v="D03"/>
    <n v="1800"/>
    <x v="0"/>
    <s v="Card"/>
    <x v="1"/>
    <x v="2"/>
    <n v="60"/>
    <x v="2"/>
    <x v="2"/>
    <n v="1800"/>
  </r>
  <r>
    <x v="86"/>
    <s v="29-01-2025"/>
    <s v="DEP04"/>
    <s v="D04"/>
    <n v="800"/>
    <x v="1"/>
    <s v="UPI"/>
    <x v="0"/>
    <x v="3"/>
    <n v="28"/>
    <x v="3"/>
    <x v="3"/>
    <n v="800"/>
  </r>
  <r>
    <x v="87"/>
    <s v="30-01-2025"/>
    <s v="DEP05"/>
    <s v="D05"/>
    <n v="2000"/>
    <x v="0"/>
    <s v="Card"/>
    <x v="1"/>
    <x v="4"/>
    <n v="52"/>
    <x v="4"/>
    <x v="4"/>
    <n v="2000"/>
  </r>
  <r>
    <x v="88"/>
    <s v="30-01-2025"/>
    <s v="DEP01"/>
    <s v="D01"/>
    <n v="1500"/>
    <x v="0"/>
    <s v="Cash"/>
    <x v="0"/>
    <x v="0"/>
    <n v="44"/>
    <x v="0"/>
    <x v="0"/>
    <n v="1500"/>
  </r>
  <r>
    <x v="89"/>
    <s v="30-01-2025"/>
    <s v="DEP02"/>
    <s v="D02"/>
    <n v="1200"/>
    <x v="1"/>
    <s v="UPI"/>
    <x v="0"/>
    <x v="1"/>
    <n v="33"/>
    <x v="1"/>
    <x v="1"/>
    <n v="1200"/>
  </r>
  <r>
    <x v="90"/>
    <s v="31-01-2025"/>
    <s v="DEP03"/>
    <s v="D03"/>
    <n v="1800"/>
    <x v="0"/>
    <s v="Card"/>
    <x v="1"/>
    <x v="2"/>
    <n v="59"/>
    <x v="2"/>
    <x v="2"/>
    <n v="1800"/>
  </r>
  <r>
    <x v="91"/>
    <s v="31-01-2025"/>
    <s v="DEP04"/>
    <s v="D04"/>
    <n v="800"/>
    <x v="1"/>
    <s v="Cash"/>
    <x v="0"/>
    <x v="3"/>
    <n v="27"/>
    <x v="3"/>
    <x v="3"/>
    <n v="800"/>
  </r>
  <r>
    <x v="92"/>
    <s v="31-01-2025"/>
    <s v="DEP05"/>
    <s v="D05"/>
    <n v="2000"/>
    <x v="0"/>
    <s v="Card"/>
    <x v="1"/>
    <x v="4"/>
    <n v="53"/>
    <x v="4"/>
    <x v="4"/>
    <n v="2000"/>
  </r>
  <r>
    <x v="93"/>
    <d v="2025-01-02T00:00:00"/>
    <s v="DEP01"/>
    <s v="D01"/>
    <n v="1500"/>
    <x v="1"/>
    <s v="UPI"/>
    <x v="0"/>
    <x v="0"/>
    <n v="46"/>
    <x v="0"/>
    <x v="0"/>
    <n v="1500"/>
  </r>
  <r>
    <x v="94"/>
    <d v="2025-01-02T00:00:00"/>
    <s v="DEP02"/>
    <s v="D02"/>
    <n v="1200"/>
    <x v="0"/>
    <s v="Cash"/>
    <x v="0"/>
    <x v="1"/>
    <n v="36"/>
    <x v="1"/>
    <x v="1"/>
    <n v="1200"/>
  </r>
  <r>
    <x v="95"/>
    <d v="2025-01-02T00:00:00"/>
    <s v="DEP03"/>
    <s v="D03"/>
    <n v="1800"/>
    <x v="0"/>
    <s v="Card"/>
    <x v="1"/>
    <x v="2"/>
    <n v="61"/>
    <x v="2"/>
    <x v="2"/>
    <n v="1800"/>
  </r>
  <r>
    <x v="96"/>
    <d v="2025-02-02T00:00:00"/>
    <s v="DEP04"/>
    <s v="D04"/>
    <n v="800"/>
    <x v="1"/>
    <s v="UPI"/>
    <x v="0"/>
    <x v="3"/>
    <n v="29"/>
    <x v="3"/>
    <x v="3"/>
    <n v="800"/>
  </r>
  <r>
    <x v="97"/>
    <d v="2025-02-02T00:00:00"/>
    <s v="DEP05"/>
    <s v="D05"/>
    <n v="2000"/>
    <x v="0"/>
    <s v="Card"/>
    <x v="1"/>
    <x v="4"/>
    <n v="54"/>
    <x v="4"/>
    <x v="4"/>
    <n v="2000"/>
  </r>
  <r>
    <x v="98"/>
    <d v="2025-02-02T00:00:00"/>
    <s v="DEP01"/>
    <s v="D01"/>
    <n v="1500"/>
    <x v="0"/>
    <s v="Cash"/>
    <x v="0"/>
    <x v="0"/>
    <n v="45"/>
    <x v="0"/>
    <x v="0"/>
    <n v="1500"/>
  </r>
  <r>
    <x v="99"/>
    <d v="2025-02-02T00:00:00"/>
    <s v="DEP02"/>
    <s v="D02"/>
    <n v="1200"/>
    <x v="1"/>
    <s v="UPI"/>
    <x v="0"/>
    <x v="1"/>
    <n v="34"/>
    <x v="1"/>
    <x v="1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3BB17-7089-452C-9DF4-86719C6A5B51}" name="PivotTable1" cacheId="3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  <pivotField compact="0" outline="0" showAll="0">
      <items count="6">
        <item x="0"/>
        <item x="3"/>
        <item x="2"/>
        <item x="1"/>
        <item x="4"/>
        <item t="default"/>
      </items>
    </pivotField>
    <pivotField axis="axisRow"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ill_Amount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C329D-D63E-4835-AFA6-A247913ED1BD}" name="PivotTable2" cacheId="3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ill_Amount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A7358-D0DB-42FC-A93C-D21071419351}" name="PivotTable3" cacheId="3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C68D5-87EF-46B8-A0DA-A533AAE0FCF2}" name="PivotTable4" cacheId="3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6">
        <item x="4"/>
        <item x="3"/>
        <item x="1"/>
        <item x="2"/>
        <item x="0"/>
        <item t="default"/>
      </items>
    </pivotField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Bill_Amount" fld="4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surance" xr10:uid="{873C4347-AFA6-4236-AF38-E67D3F59EBD2}" sourceName="Insurance">
  <pivotTables>
    <pivotTable tabId="4" name="PivotTable1"/>
    <pivotTable tabId="6" name="PivotTable2"/>
    <pivotTable tabId="7" name="PivotTable3"/>
    <pivotTable tabId="8" name="PivotTable4"/>
  </pivotTables>
  <data>
    <tabular pivotCacheId="93656908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dmission_Type" xr10:uid="{DB9A6D68-A994-4B93-8FDD-378BBB37B824}" sourceName="Admission_Type">
  <pivotTables>
    <pivotTable tabId="4" name="PivotTable1"/>
    <pivotTable tabId="6" name="PivotTable2"/>
    <pivotTable tabId="7" name="PivotTable3"/>
    <pivotTable tabId="8" name="PivotTable4"/>
  </pivotTables>
  <data>
    <tabular pivotCacheId="93656908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84ECAF4C-A0E6-4DB5-BC40-C955164D3ECF}" sourceName="City">
  <pivotTables>
    <pivotTable tabId="4" name="PivotTable1"/>
    <pivotTable tabId="6" name="PivotTable2"/>
    <pivotTable tabId="7" name="PivotTable3"/>
    <pivotTable tabId="8" name="PivotTable4"/>
  </pivotTables>
  <data>
    <tabular pivotCacheId="936569082">
      <items count="5">
        <i x="2" s="1"/>
        <i x="0" s="1"/>
        <i x="4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_Name" xr10:uid="{48172CBC-EDEA-499D-BF24-2CD6C0434343}" sourceName="Department Name">
  <pivotTables>
    <pivotTable tabId="4" name="PivotTable1"/>
    <pivotTable tabId="6" name="PivotTable2"/>
    <pivotTable tabId="8" name="PivotTable4"/>
    <pivotTable tabId="7" name="PivotTable3"/>
  </pivotTables>
  <data>
    <tabular pivotCacheId="936569082">
      <items count="5">
        <i x="0" s="1"/>
        <i x="3" s="1"/>
        <i x="2" s="1"/>
        <i x="1" s="1"/>
        <i x="4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octor_Name1" xr10:uid="{ED2BB59C-BB65-4A31-9DEF-6A9C116D4BA8}" sourceName="Doctor Name">
  <pivotTables>
    <pivotTable tabId="4" name="PivotTable1"/>
    <pivotTable tabId="6" name="PivotTable2"/>
    <pivotTable tabId="7" name="PivotTable3"/>
    <pivotTable tabId="8" name="PivotTable4"/>
  </pivotTables>
  <data>
    <tabular pivotCacheId="936569082">
      <items count="5">
        <i x="4" s="1"/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surance" xr10:uid="{B6E1B6C5-FEA1-44A6-BC86-4EAE0ED84C67}" cache="Slicer_Insurance" caption="Insurance" rowHeight="228600"/>
  <slicer name="Admission_Type" xr10:uid="{709D4228-AB31-4F49-83C3-0E9A57B66197}" cache="Slicer_Admission_Type" caption="Admission_Type" rowHeight="228600"/>
  <slicer name="City" xr10:uid="{2AAE18AC-BE9A-4372-A013-C36058FA6624}" cache="Slicer_City" caption="City" rowHeight="228600"/>
  <slicer name="Department Name" xr10:uid="{FB7ABDF8-CA3B-4A0C-9491-81E546F89E63}" cache="Slicer_Department_Name" caption="Department Name" rowHeight="228600"/>
  <slicer name="Doctor Name 1" xr10:uid="{9D35CEB6-21DF-4C57-931A-85B24000860D}" cache="Slicer_Doctor_Name1" caption="Doctor Nam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octor Name" xr10:uid="{ACADDEF0-4EB6-41C4-84BF-1BF0C0797E9E}" cache="Slicer_Doctor_Name1" caption="Doctor Nam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90F0E-30DC-4A7E-9B1C-E6B0490902E7}" name="Table1" displayName="Table1" ref="A1:M101" totalsRowShown="0">
  <autoFilter ref="A1:M101" xr:uid="{1FF90F0E-30DC-4A7E-9B1C-E6B0490902E7}"/>
  <tableColumns count="13">
    <tableColumn id="1" xr3:uid="{D606DF36-EE1D-4485-9023-7221422D21CB}" name="Patient_ID"/>
    <tableColumn id="2" xr3:uid="{EA26E969-40AF-4FCD-A7C3-B5E9C26FC740}" name="Visit_Date" dataDxfId="3"/>
    <tableColumn id="3" xr3:uid="{D6EE7CB0-0ABE-49C0-8FBE-D6A5B86B64ED}" name="Dept_ID"/>
    <tableColumn id="4" xr3:uid="{2DB95B62-157C-4F51-82C8-38BAFC94052A}" name="Doctor_ID"/>
    <tableColumn id="5" xr3:uid="{7A642F2C-E77B-4FF7-9890-E6B180098208}" name="Bill_Amount"/>
    <tableColumn id="6" xr3:uid="{ADBE7CF2-7653-436F-8A3C-F3CBEFAA232F}" name="Insurance"/>
    <tableColumn id="7" xr3:uid="{40E4BA9B-5B25-45ED-8616-886532C89A81}" name="Payment_Mode"/>
    <tableColumn id="8" xr3:uid="{E927F399-E0D0-4BC2-9B0B-A785FE6AA3B4}" name="Admission_Type"/>
    <tableColumn id="9" xr3:uid="{62797563-B7F1-49A5-9417-CB3FE35DA02B}" name="City"/>
    <tableColumn id="10" xr3:uid="{05E73B4E-5D10-4418-B8FB-C1C342606F30}" name="Age"/>
    <tableColumn id="11" xr3:uid="{1D3EBD2B-FB84-4E89-B3BD-E0DF5750A20C}" name="Department Name" dataDxfId="2">
      <calculatedColumnFormula>_xlfn.XLOOKUP(C2,Department_Master!A:A,Department_Master!B:B)</calculatedColumnFormula>
    </tableColumn>
    <tableColumn id="12" xr3:uid="{91B655CA-E61C-4219-AAAB-5A31FE27F0EA}" name="Doctor Name" dataDxfId="1">
      <calculatedColumnFormula>_xlfn.XLOOKUP(D2,Doctor_Master!A:A,Doctor_Master!B:B)</calculatedColumnFormula>
    </tableColumn>
    <tableColumn id="13" xr3:uid="{868C52B4-84A2-454E-A949-141152EF671D}" name="Consultation Fee" dataDxfId="0">
      <calculatedColumnFormula>_xlfn.XLOOKUP(D2,Doctor_Master!A:A,Doctor_Master!D:D)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06FFF-70D2-4038-8417-312ED541579E}" name="Table2" displayName="Table2" ref="A1:B6" totalsRowShown="0">
  <autoFilter ref="A1:B6" xr:uid="{DBC06FFF-70D2-4038-8417-312ED541579E}"/>
  <tableColumns count="2">
    <tableColumn id="1" xr3:uid="{64407414-F6DC-4642-A13F-D6F6382C6061}" name="Dept_ID"/>
    <tableColumn id="2" xr3:uid="{288D1C5F-339F-4B83-96B8-98801DDEA5A4}" name="Departmen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E7BA2D-115D-413E-BA84-1DB5DAC54181}" name="Table3" displayName="Table3" ref="A1:D6" totalsRowShown="0">
  <autoFilter ref="A1:D6" xr:uid="{1EE7BA2D-115D-413E-BA84-1DB5DAC54181}"/>
  <tableColumns count="4">
    <tableColumn id="1" xr3:uid="{FCE43E54-01CE-49A4-BD88-B6DD4FF4F452}" name="Doctor_ID"/>
    <tableColumn id="2" xr3:uid="{E0458254-7918-4725-9351-66776CDFFA66}" name="Doctor_Name"/>
    <tableColumn id="3" xr3:uid="{60B9E798-CA6B-41A3-9A20-899AF27C0935}" name="Dept_ID"/>
    <tableColumn id="4" xr3:uid="{82E80885-A4E7-42F6-AC3D-6A69ADA7D762}" name="Consultation_F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1BBB-E2A8-4BC5-9D56-E163E1EFB604}">
  <dimension ref="A3:B9"/>
  <sheetViews>
    <sheetView workbookViewId="0">
      <selection activeCell="B13" sqref="B13"/>
    </sheetView>
  </sheetViews>
  <sheetFormatPr defaultRowHeight="15"/>
  <cols>
    <col min="1" max="1" width="16" bestFit="1" customWidth="1"/>
    <col min="2" max="2" width="18.710937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8">
        <v>38000</v>
      </c>
    </row>
    <row r="5" spans="1:2">
      <c r="A5" t="s">
        <v>3</v>
      </c>
      <c r="B5" s="8">
        <v>15200</v>
      </c>
    </row>
    <row r="6" spans="1:2">
      <c r="A6" t="s">
        <v>4</v>
      </c>
      <c r="B6" s="8">
        <v>25200</v>
      </c>
    </row>
    <row r="7" spans="1:2">
      <c r="A7" t="s">
        <v>5</v>
      </c>
      <c r="B7" s="8">
        <v>36000</v>
      </c>
    </row>
    <row r="8" spans="1:2">
      <c r="A8" t="s">
        <v>6</v>
      </c>
      <c r="B8" s="8">
        <v>31500</v>
      </c>
    </row>
    <row r="9" spans="1:2">
      <c r="A9" t="s">
        <v>7</v>
      </c>
      <c r="B9" s="8">
        <v>145900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3293-436D-40BE-9CD4-448DEE72DE04}">
  <dimension ref="A3:B9"/>
  <sheetViews>
    <sheetView tabSelected="1" workbookViewId="0">
      <selection activeCell="B14" sqref="B14"/>
    </sheetView>
  </sheetViews>
  <sheetFormatPr defaultRowHeight="15"/>
  <cols>
    <col min="1" max="1" width="20.85546875" bestFit="1" customWidth="1"/>
    <col min="2" max="2" width="18.7109375" bestFit="1" customWidth="1"/>
  </cols>
  <sheetData>
    <row r="3" spans="1:2">
      <c r="A3" s="3" t="s">
        <v>8</v>
      </c>
      <c r="B3" t="s">
        <v>1</v>
      </c>
    </row>
    <row r="4" spans="1:2">
      <c r="A4" t="s">
        <v>9</v>
      </c>
      <c r="B4">
        <v>31500</v>
      </c>
    </row>
    <row r="5" spans="1:2">
      <c r="A5" t="s">
        <v>10</v>
      </c>
      <c r="B5">
        <v>15200</v>
      </c>
    </row>
    <row r="6" spans="1:2">
      <c r="A6" t="s">
        <v>11</v>
      </c>
      <c r="B6">
        <v>36000</v>
      </c>
    </row>
    <row r="7" spans="1:2">
      <c r="A7" t="s">
        <v>12</v>
      </c>
      <c r="B7">
        <v>25200</v>
      </c>
    </row>
    <row r="8" spans="1:2">
      <c r="A8" t="s">
        <v>13</v>
      </c>
      <c r="B8">
        <v>38000</v>
      </c>
    </row>
    <row r="9" spans="1:2">
      <c r="A9" t="s">
        <v>7</v>
      </c>
      <c r="B9">
        <v>145900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DEC6-1A69-48B8-9741-DC6F7B4A2EE0}">
  <dimension ref="A3:B6"/>
  <sheetViews>
    <sheetView workbookViewId="0">
      <selection activeCell="F6" sqref="F6"/>
    </sheetView>
  </sheetViews>
  <sheetFormatPr defaultRowHeight="15"/>
  <cols>
    <col min="1" max="1" width="13.140625" bestFit="1" customWidth="1"/>
    <col min="2" max="2" width="18.5703125" bestFit="1" customWidth="1"/>
  </cols>
  <sheetData>
    <row r="3" spans="1:2">
      <c r="A3" s="3" t="s">
        <v>14</v>
      </c>
      <c r="B3" t="s">
        <v>15</v>
      </c>
    </row>
    <row r="4" spans="1:2">
      <c r="A4" t="s">
        <v>16</v>
      </c>
      <c r="B4">
        <v>40</v>
      </c>
    </row>
    <row r="5" spans="1:2">
      <c r="A5" t="s">
        <v>17</v>
      </c>
      <c r="B5">
        <v>60</v>
      </c>
    </row>
    <row r="6" spans="1:2">
      <c r="A6" t="s">
        <v>7</v>
      </c>
      <c r="B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3359-E1EB-4C9F-9444-69A6AC824494}">
  <dimension ref="A3:B6"/>
  <sheetViews>
    <sheetView topLeftCell="S1" workbookViewId="0">
      <selection activeCell="M15" sqref="M15"/>
    </sheetView>
  </sheetViews>
  <sheetFormatPr defaultRowHeight="15"/>
  <cols>
    <col min="1" max="2" width="18.7109375" bestFit="1" customWidth="1"/>
  </cols>
  <sheetData>
    <row r="3" spans="1:2">
      <c r="A3" s="3" t="s">
        <v>18</v>
      </c>
      <c r="B3" t="s">
        <v>1</v>
      </c>
    </row>
    <row r="4" spans="1:2">
      <c r="A4" t="s">
        <v>19</v>
      </c>
      <c r="B4">
        <v>72200</v>
      </c>
    </row>
    <row r="5" spans="1:2">
      <c r="A5" t="s">
        <v>20</v>
      </c>
      <c r="B5">
        <v>73700</v>
      </c>
    </row>
    <row r="6" spans="1:2">
      <c r="A6" t="s">
        <v>7</v>
      </c>
      <c r="B6">
        <v>145900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DA7A-06B2-49E0-B904-93ADABE223B5}">
  <dimension ref="A1:B8"/>
  <sheetViews>
    <sheetView topLeftCell="A8" workbookViewId="0">
      <selection activeCell="H33" sqref="H33"/>
    </sheetView>
  </sheetViews>
  <sheetFormatPr defaultRowHeight="15"/>
  <cols>
    <col min="1" max="1" width="16.5703125" bestFit="1" customWidth="1"/>
    <col min="2" max="2" width="12.85546875" bestFit="1" customWidth="1"/>
  </cols>
  <sheetData>
    <row r="1" spans="1:2">
      <c r="A1" s="7" t="s">
        <v>21</v>
      </c>
      <c r="B1" s="7"/>
    </row>
    <row r="2" spans="1:2">
      <c r="A2" s="5" t="s">
        <v>22</v>
      </c>
      <c r="B2" s="6">
        <f>SUM(Patient_Data!E:E)</f>
        <v>145900</v>
      </c>
    </row>
    <row r="3" spans="1:2">
      <c r="A3" s="5" t="s">
        <v>23</v>
      </c>
      <c r="B3" s="4">
        <f>COUNTA(Patient_Data!A:A)</f>
        <v>101</v>
      </c>
    </row>
    <row r="4" spans="1:2">
      <c r="A4" s="5" t="s">
        <v>24</v>
      </c>
      <c r="B4" s="4">
        <f>COUNTIF(Patient_Data!F:F,"Yes")</f>
        <v>60</v>
      </c>
    </row>
    <row r="5" spans="1:2">
      <c r="A5" s="5" t="s">
        <v>25</v>
      </c>
      <c r="B5" s="4">
        <f>COUNTIF(Patient_Data!F:F,"No")</f>
        <v>40</v>
      </c>
    </row>
    <row r="6" spans="1:2">
      <c r="A6" s="5" t="s">
        <v>26</v>
      </c>
      <c r="B6" s="6">
        <f>AVERAGE(Patient_Data!E:E)</f>
        <v>1459</v>
      </c>
    </row>
    <row r="7" spans="1:2">
      <c r="A7" s="5" t="s">
        <v>27</v>
      </c>
      <c r="B7" s="6">
        <f>SUMIFS(Patient_Data!E:E,Patient_Data!H:H,"OPD")</f>
        <v>73700</v>
      </c>
    </row>
    <row r="8" spans="1:2">
      <c r="A8" s="5" t="s">
        <v>28</v>
      </c>
      <c r="B8" s="6">
        <f>SUMIFS(Patient_Data!E:E,Patient_Data!H:H,"IPD")</f>
        <v>72200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H1" workbookViewId="0">
      <selection activeCell="H1" sqref="H1"/>
    </sheetView>
  </sheetViews>
  <sheetFormatPr defaultRowHeight="15"/>
  <cols>
    <col min="1" max="1" width="12.5703125" bestFit="1" customWidth="1"/>
    <col min="2" max="2" width="12.42578125" bestFit="1" customWidth="1"/>
    <col min="3" max="3" width="10.42578125" bestFit="1" customWidth="1"/>
    <col min="4" max="4" width="12.28515625" bestFit="1" customWidth="1"/>
    <col min="5" max="5" width="14.140625" bestFit="1" customWidth="1"/>
    <col min="6" max="6" width="12.28515625" bestFit="1" customWidth="1"/>
    <col min="7" max="7" width="17.140625" bestFit="1" customWidth="1"/>
    <col min="8" max="8" width="17.85546875" bestFit="1" customWidth="1"/>
    <col min="9" max="9" width="10.5703125" bestFit="1" customWidth="1"/>
    <col min="10" max="10" width="6.7109375" bestFit="1" customWidth="1"/>
    <col min="11" max="11" width="20" bestFit="1" customWidth="1"/>
    <col min="12" max="12" width="15.140625" bestFit="1" customWidth="1"/>
    <col min="13" max="13" width="18.7109375" bestFit="1" customWidth="1"/>
  </cols>
  <sheetData>
    <row r="1" spans="1:1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14</v>
      </c>
      <c r="G1" t="s">
        <v>34</v>
      </c>
      <c r="H1" t="s">
        <v>18</v>
      </c>
      <c r="I1" t="s">
        <v>35</v>
      </c>
      <c r="J1" t="s">
        <v>36</v>
      </c>
      <c r="K1" t="s">
        <v>8</v>
      </c>
      <c r="L1" t="s">
        <v>0</v>
      </c>
      <c r="M1" t="s">
        <v>37</v>
      </c>
    </row>
    <row r="2" spans="1:13">
      <c r="A2" t="s">
        <v>38</v>
      </c>
      <c r="B2" s="1">
        <v>45658</v>
      </c>
      <c r="C2" t="s">
        <v>39</v>
      </c>
      <c r="D2" t="s">
        <v>40</v>
      </c>
      <c r="E2">
        <v>1500</v>
      </c>
      <c r="F2" t="s">
        <v>17</v>
      </c>
      <c r="G2" t="s">
        <v>41</v>
      </c>
      <c r="H2" t="s">
        <v>20</v>
      </c>
      <c r="I2" t="s">
        <v>42</v>
      </c>
      <c r="J2">
        <v>45</v>
      </c>
      <c r="K2" t="str">
        <f>_xlfn.XLOOKUP(C2,Department_Master!A:A,Department_Master!B:B)</f>
        <v>Cardiology</v>
      </c>
      <c r="L2" t="str">
        <f>_xlfn.XLOOKUP(D2,Doctor_Master!A:A,Doctor_Master!B:B)</f>
        <v>Dr Sharma</v>
      </c>
      <c r="M2">
        <f>_xlfn.XLOOKUP(D2,Doctor_Master!A:A,Doctor_Master!D:D)</f>
        <v>1500</v>
      </c>
    </row>
    <row r="3" spans="1:13">
      <c r="A3" t="s">
        <v>43</v>
      </c>
      <c r="B3" s="1">
        <v>45658</v>
      </c>
      <c r="C3" t="s">
        <v>44</v>
      </c>
      <c r="D3" t="s">
        <v>45</v>
      </c>
      <c r="E3">
        <v>1200</v>
      </c>
      <c r="F3" t="s">
        <v>16</v>
      </c>
      <c r="G3" t="s">
        <v>46</v>
      </c>
      <c r="H3" t="s">
        <v>20</v>
      </c>
      <c r="I3" t="s">
        <v>47</v>
      </c>
      <c r="J3">
        <v>32</v>
      </c>
      <c r="K3" t="str">
        <f>_xlfn.XLOOKUP(C3,Department_Master!A:A,Department_Master!B:B)</f>
        <v>Orthopedics</v>
      </c>
      <c r="L3" t="str">
        <f>_xlfn.XLOOKUP(D3,Doctor_Master!A:A,Doctor_Master!B:B)</f>
        <v>Dr Mehta</v>
      </c>
      <c r="M3">
        <f>_xlfn.XLOOKUP(D3,Doctor_Master!A:A,Doctor_Master!D:D)</f>
        <v>1200</v>
      </c>
    </row>
    <row r="4" spans="1:13">
      <c r="A4" t="s">
        <v>48</v>
      </c>
      <c r="B4" s="1">
        <v>45658</v>
      </c>
      <c r="C4" t="s">
        <v>49</v>
      </c>
      <c r="D4" t="s">
        <v>50</v>
      </c>
      <c r="E4">
        <v>1800</v>
      </c>
      <c r="F4" t="s">
        <v>17</v>
      </c>
      <c r="G4" t="s">
        <v>51</v>
      </c>
      <c r="H4" t="s">
        <v>20</v>
      </c>
      <c r="I4" t="s">
        <v>52</v>
      </c>
      <c r="J4">
        <v>56</v>
      </c>
      <c r="K4" t="str">
        <f>_xlfn.XLOOKUP(C4,Department_Master!A:A,Department_Master!B:B)</f>
        <v>Neurology</v>
      </c>
      <c r="L4" t="str">
        <f>_xlfn.XLOOKUP(D4,Doctor_Master!A:A,Doctor_Master!B:B)</f>
        <v>Dr Rao</v>
      </c>
      <c r="M4">
        <f>_xlfn.XLOOKUP(D4,Doctor_Master!A:A,Doctor_Master!D:D)</f>
        <v>1800</v>
      </c>
    </row>
    <row r="5" spans="1:13">
      <c r="A5" t="s">
        <v>53</v>
      </c>
      <c r="B5" s="1">
        <v>45689</v>
      </c>
      <c r="C5" t="s">
        <v>39</v>
      </c>
      <c r="D5" t="s">
        <v>40</v>
      </c>
      <c r="E5">
        <v>1500</v>
      </c>
      <c r="F5" t="s">
        <v>16</v>
      </c>
      <c r="G5" t="s">
        <v>41</v>
      </c>
      <c r="H5" t="s">
        <v>20</v>
      </c>
      <c r="I5" t="s">
        <v>42</v>
      </c>
      <c r="J5">
        <v>40</v>
      </c>
      <c r="K5" t="str">
        <f>_xlfn.XLOOKUP(C5,Department_Master!A:A,Department_Master!B:B)</f>
        <v>Cardiology</v>
      </c>
      <c r="L5" t="str">
        <f>_xlfn.XLOOKUP(D5,Doctor_Master!A:A,Doctor_Master!B:B)</f>
        <v>Dr Sharma</v>
      </c>
      <c r="M5">
        <f>_xlfn.XLOOKUP(D5,Doctor_Master!A:A,Doctor_Master!D:D)</f>
        <v>1500</v>
      </c>
    </row>
    <row r="6" spans="1:13">
      <c r="A6" t="s">
        <v>54</v>
      </c>
      <c r="B6" s="1">
        <v>45689</v>
      </c>
      <c r="C6" t="s">
        <v>55</v>
      </c>
      <c r="D6" t="s">
        <v>56</v>
      </c>
      <c r="E6">
        <v>800</v>
      </c>
      <c r="F6" t="s">
        <v>17</v>
      </c>
      <c r="G6" t="s">
        <v>51</v>
      </c>
      <c r="H6" t="s">
        <v>20</v>
      </c>
      <c r="I6" t="s">
        <v>57</v>
      </c>
      <c r="J6">
        <v>28</v>
      </c>
      <c r="K6" t="str">
        <f>_xlfn.XLOOKUP(C6,Department_Master!A:A,Department_Master!B:B)</f>
        <v>General</v>
      </c>
      <c r="L6" t="str">
        <f>_xlfn.XLOOKUP(D6,Doctor_Master!A:A,Doctor_Master!B:B)</f>
        <v>Dr Khan</v>
      </c>
      <c r="M6">
        <f>_xlfn.XLOOKUP(D6,Doctor_Master!A:A,Doctor_Master!D:D)</f>
        <v>800</v>
      </c>
    </row>
    <row r="7" spans="1:13">
      <c r="A7" t="s">
        <v>58</v>
      </c>
      <c r="B7" s="1">
        <v>45689</v>
      </c>
      <c r="C7" t="s">
        <v>44</v>
      </c>
      <c r="D7" t="s">
        <v>45</v>
      </c>
      <c r="E7">
        <v>1200</v>
      </c>
      <c r="F7" t="s">
        <v>17</v>
      </c>
      <c r="G7" t="s">
        <v>46</v>
      </c>
      <c r="H7" t="s">
        <v>20</v>
      </c>
      <c r="I7" t="s">
        <v>47</v>
      </c>
      <c r="J7">
        <v>36</v>
      </c>
      <c r="K7" t="str">
        <f>_xlfn.XLOOKUP(C7,Department_Master!A:A,Department_Master!B:B)</f>
        <v>Orthopedics</v>
      </c>
      <c r="L7" t="str">
        <f>_xlfn.XLOOKUP(D7,Doctor_Master!A:A,Doctor_Master!B:B)</f>
        <v>Dr Mehta</v>
      </c>
      <c r="M7">
        <f>_xlfn.XLOOKUP(D7,Doctor_Master!A:A,Doctor_Master!D:D)</f>
        <v>1200</v>
      </c>
    </row>
    <row r="8" spans="1:13">
      <c r="A8" t="s">
        <v>59</v>
      </c>
      <c r="B8" s="1">
        <v>45717</v>
      </c>
      <c r="C8" t="s">
        <v>49</v>
      </c>
      <c r="D8" t="s">
        <v>50</v>
      </c>
      <c r="E8">
        <v>1800</v>
      </c>
      <c r="F8" t="s">
        <v>16</v>
      </c>
      <c r="G8" t="s">
        <v>41</v>
      </c>
      <c r="H8" t="s">
        <v>19</v>
      </c>
      <c r="I8" t="s">
        <v>52</v>
      </c>
      <c r="J8">
        <v>62</v>
      </c>
      <c r="K8" t="str">
        <f>_xlfn.XLOOKUP(C8,Department_Master!A:A,Department_Master!B:B)</f>
        <v>Neurology</v>
      </c>
      <c r="L8" t="str">
        <f>_xlfn.XLOOKUP(D8,Doctor_Master!A:A,Doctor_Master!B:B)</f>
        <v>Dr Rao</v>
      </c>
      <c r="M8">
        <f>_xlfn.XLOOKUP(D8,Doctor_Master!A:A,Doctor_Master!D:D)</f>
        <v>1800</v>
      </c>
    </row>
    <row r="9" spans="1:13">
      <c r="A9" t="s">
        <v>60</v>
      </c>
      <c r="B9" s="1">
        <v>45717</v>
      </c>
      <c r="C9" t="s">
        <v>61</v>
      </c>
      <c r="D9" t="s">
        <v>62</v>
      </c>
      <c r="E9">
        <v>2000</v>
      </c>
      <c r="F9" t="s">
        <v>17</v>
      </c>
      <c r="G9" t="s">
        <v>51</v>
      </c>
      <c r="H9" t="s">
        <v>19</v>
      </c>
      <c r="I9" t="s">
        <v>63</v>
      </c>
      <c r="J9">
        <v>51</v>
      </c>
      <c r="K9" t="str">
        <f>_xlfn.XLOOKUP(C9,Department_Master!A:A,Department_Master!B:B)</f>
        <v>Surgery</v>
      </c>
      <c r="L9" t="str">
        <f>_xlfn.XLOOKUP(D9,Doctor_Master!A:A,Doctor_Master!B:B)</f>
        <v>Dr Iyer</v>
      </c>
      <c r="M9">
        <f>_xlfn.XLOOKUP(D9,Doctor_Master!A:A,Doctor_Master!D:D)</f>
        <v>2000</v>
      </c>
    </row>
    <row r="10" spans="1:13">
      <c r="A10" t="s">
        <v>64</v>
      </c>
      <c r="B10" s="1">
        <v>45717</v>
      </c>
      <c r="C10" t="s">
        <v>39</v>
      </c>
      <c r="D10" t="s">
        <v>40</v>
      </c>
      <c r="E10">
        <v>1500</v>
      </c>
      <c r="F10" t="s">
        <v>16</v>
      </c>
      <c r="G10" t="s">
        <v>41</v>
      </c>
      <c r="H10" t="s">
        <v>20</v>
      </c>
      <c r="I10" t="s">
        <v>42</v>
      </c>
      <c r="J10">
        <v>47</v>
      </c>
      <c r="K10" t="str">
        <f>_xlfn.XLOOKUP(C10,Department_Master!A:A,Department_Master!B:B)</f>
        <v>Cardiology</v>
      </c>
      <c r="L10" t="str">
        <f>_xlfn.XLOOKUP(D10,Doctor_Master!A:A,Doctor_Master!B:B)</f>
        <v>Dr Sharma</v>
      </c>
      <c r="M10">
        <f>_xlfn.XLOOKUP(D10,Doctor_Master!A:A,Doctor_Master!D:D)</f>
        <v>1500</v>
      </c>
    </row>
    <row r="11" spans="1:13">
      <c r="A11" t="s">
        <v>65</v>
      </c>
      <c r="B11" s="1">
        <v>45748</v>
      </c>
      <c r="C11" t="s">
        <v>44</v>
      </c>
      <c r="D11" t="s">
        <v>45</v>
      </c>
      <c r="E11">
        <v>1200</v>
      </c>
      <c r="F11" t="s">
        <v>17</v>
      </c>
      <c r="G11" t="s">
        <v>46</v>
      </c>
      <c r="H11" t="s">
        <v>20</v>
      </c>
      <c r="I11" t="s">
        <v>47</v>
      </c>
      <c r="J11">
        <v>34</v>
      </c>
      <c r="K11" t="str">
        <f>_xlfn.XLOOKUP(C11,Department_Master!A:A,Department_Master!B:B)</f>
        <v>Orthopedics</v>
      </c>
      <c r="L11" t="str">
        <f>_xlfn.XLOOKUP(D11,Doctor_Master!A:A,Doctor_Master!B:B)</f>
        <v>Dr Mehta</v>
      </c>
      <c r="M11">
        <f>_xlfn.XLOOKUP(D11,Doctor_Master!A:A,Doctor_Master!D:D)</f>
        <v>1200</v>
      </c>
    </row>
    <row r="12" spans="1:13">
      <c r="A12" t="s">
        <v>66</v>
      </c>
      <c r="B12" s="1">
        <v>45748</v>
      </c>
      <c r="C12" t="s">
        <v>49</v>
      </c>
      <c r="D12" t="s">
        <v>50</v>
      </c>
      <c r="E12">
        <v>1800</v>
      </c>
      <c r="F12" t="s">
        <v>17</v>
      </c>
      <c r="G12" t="s">
        <v>51</v>
      </c>
      <c r="H12" t="s">
        <v>19</v>
      </c>
      <c r="I12" t="s">
        <v>52</v>
      </c>
      <c r="J12">
        <v>59</v>
      </c>
      <c r="K12" t="str">
        <f>_xlfn.XLOOKUP(C12,Department_Master!A:A,Department_Master!B:B)</f>
        <v>Neurology</v>
      </c>
      <c r="L12" t="str">
        <f>_xlfn.XLOOKUP(D12,Doctor_Master!A:A,Doctor_Master!B:B)</f>
        <v>Dr Rao</v>
      </c>
      <c r="M12">
        <f>_xlfn.XLOOKUP(D12,Doctor_Master!A:A,Doctor_Master!D:D)</f>
        <v>1800</v>
      </c>
    </row>
    <row r="13" spans="1:13">
      <c r="A13" t="s">
        <v>67</v>
      </c>
      <c r="B13" s="1">
        <v>45748</v>
      </c>
      <c r="C13" t="s">
        <v>55</v>
      </c>
      <c r="D13" t="s">
        <v>56</v>
      </c>
      <c r="E13">
        <v>800</v>
      </c>
      <c r="F13" t="s">
        <v>16</v>
      </c>
      <c r="G13" t="s">
        <v>41</v>
      </c>
      <c r="H13" t="s">
        <v>20</v>
      </c>
      <c r="I13" t="s">
        <v>57</v>
      </c>
      <c r="J13">
        <v>26</v>
      </c>
      <c r="K13" t="str">
        <f>_xlfn.XLOOKUP(C13,Department_Master!A:A,Department_Master!B:B)</f>
        <v>General</v>
      </c>
      <c r="L13" t="str">
        <f>_xlfn.XLOOKUP(D13,Doctor_Master!A:A,Doctor_Master!B:B)</f>
        <v>Dr Khan</v>
      </c>
      <c r="M13">
        <f>_xlfn.XLOOKUP(D13,Doctor_Master!A:A,Doctor_Master!D:D)</f>
        <v>800</v>
      </c>
    </row>
    <row r="14" spans="1:13">
      <c r="A14" t="s">
        <v>68</v>
      </c>
      <c r="B14" s="1">
        <v>45778</v>
      </c>
      <c r="C14" t="s">
        <v>61</v>
      </c>
      <c r="D14" t="s">
        <v>62</v>
      </c>
      <c r="E14">
        <v>2000</v>
      </c>
      <c r="F14" t="s">
        <v>17</v>
      </c>
      <c r="G14" t="s">
        <v>51</v>
      </c>
      <c r="H14" t="s">
        <v>19</v>
      </c>
      <c r="I14" t="s">
        <v>63</v>
      </c>
      <c r="J14">
        <v>54</v>
      </c>
      <c r="K14" t="str">
        <f>_xlfn.XLOOKUP(C14,Department_Master!A:A,Department_Master!B:B)</f>
        <v>Surgery</v>
      </c>
      <c r="L14" t="str">
        <f>_xlfn.XLOOKUP(D14,Doctor_Master!A:A,Doctor_Master!B:B)</f>
        <v>Dr Iyer</v>
      </c>
      <c r="M14">
        <f>_xlfn.XLOOKUP(D14,Doctor_Master!A:A,Doctor_Master!D:D)</f>
        <v>2000</v>
      </c>
    </row>
    <row r="15" spans="1:13">
      <c r="A15" t="s">
        <v>69</v>
      </c>
      <c r="B15" s="1">
        <v>45778</v>
      </c>
      <c r="C15" t="s">
        <v>39</v>
      </c>
      <c r="D15" t="s">
        <v>40</v>
      </c>
      <c r="E15">
        <v>1500</v>
      </c>
      <c r="F15" t="s">
        <v>17</v>
      </c>
      <c r="G15" t="s">
        <v>46</v>
      </c>
      <c r="H15" t="s">
        <v>20</v>
      </c>
      <c r="I15" t="s">
        <v>42</v>
      </c>
      <c r="J15">
        <v>41</v>
      </c>
      <c r="K15" t="str">
        <f>_xlfn.XLOOKUP(C15,Department_Master!A:A,Department_Master!B:B)</f>
        <v>Cardiology</v>
      </c>
      <c r="L15" t="str">
        <f>_xlfn.XLOOKUP(D15,Doctor_Master!A:A,Doctor_Master!B:B)</f>
        <v>Dr Sharma</v>
      </c>
      <c r="M15">
        <f>_xlfn.XLOOKUP(D15,Doctor_Master!A:A,Doctor_Master!D:D)</f>
        <v>1500</v>
      </c>
    </row>
    <row r="16" spans="1:13">
      <c r="A16" t="s">
        <v>70</v>
      </c>
      <c r="B16" s="1">
        <v>45778</v>
      </c>
      <c r="C16" t="s">
        <v>44</v>
      </c>
      <c r="D16" t="s">
        <v>45</v>
      </c>
      <c r="E16">
        <v>1200</v>
      </c>
      <c r="F16" t="s">
        <v>16</v>
      </c>
      <c r="G16" t="s">
        <v>41</v>
      </c>
      <c r="H16" t="s">
        <v>20</v>
      </c>
      <c r="I16" t="s">
        <v>47</v>
      </c>
      <c r="J16">
        <v>37</v>
      </c>
      <c r="K16" t="str">
        <f>_xlfn.XLOOKUP(C16,Department_Master!A:A,Department_Master!B:B)</f>
        <v>Orthopedics</v>
      </c>
      <c r="L16" t="str">
        <f>_xlfn.XLOOKUP(D16,Doctor_Master!A:A,Doctor_Master!B:B)</f>
        <v>Dr Mehta</v>
      </c>
      <c r="M16">
        <f>_xlfn.XLOOKUP(D16,Doctor_Master!A:A,Doctor_Master!D:D)</f>
        <v>1200</v>
      </c>
    </row>
    <row r="17" spans="1:13">
      <c r="A17" t="s">
        <v>71</v>
      </c>
      <c r="B17" s="1">
        <v>45809</v>
      </c>
      <c r="C17" t="s">
        <v>49</v>
      </c>
      <c r="D17" t="s">
        <v>50</v>
      </c>
      <c r="E17">
        <v>1800</v>
      </c>
      <c r="F17" t="s">
        <v>17</v>
      </c>
      <c r="G17" t="s">
        <v>51</v>
      </c>
      <c r="H17" t="s">
        <v>19</v>
      </c>
      <c r="I17" t="s">
        <v>52</v>
      </c>
      <c r="J17">
        <v>61</v>
      </c>
      <c r="K17" t="str">
        <f>_xlfn.XLOOKUP(C17,Department_Master!A:A,Department_Master!B:B)</f>
        <v>Neurology</v>
      </c>
      <c r="L17" t="str">
        <f>_xlfn.XLOOKUP(D17,Doctor_Master!A:A,Doctor_Master!B:B)</f>
        <v>Dr Rao</v>
      </c>
      <c r="M17">
        <f>_xlfn.XLOOKUP(D17,Doctor_Master!A:A,Doctor_Master!D:D)</f>
        <v>1800</v>
      </c>
    </row>
    <row r="18" spans="1:13">
      <c r="A18" t="s">
        <v>72</v>
      </c>
      <c r="B18" s="1">
        <v>45809</v>
      </c>
      <c r="C18" t="s">
        <v>55</v>
      </c>
      <c r="D18" t="s">
        <v>56</v>
      </c>
      <c r="E18">
        <v>800</v>
      </c>
      <c r="F18" t="s">
        <v>16</v>
      </c>
      <c r="G18" t="s">
        <v>46</v>
      </c>
      <c r="H18" t="s">
        <v>20</v>
      </c>
      <c r="I18" t="s">
        <v>57</v>
      </c>
      <c r="J18">
        <v>29</v>
      </c>
      <c r="K18" t="str">
        <f>_xlfn.XLOOKUP(C18,Department_Master!A:A,Department_Master!B:B)</f>
        <v>General</v>
      </c>
      <c r="L18" t="str">
        <f>_xlfn.XLOOKUP(D18,Doctor_Master!A:A,Doctor_Master!B:B)</f>
        <v>Dr Khan</v>
      </c>
      <c r="M18">
        <f>_xlfn.XLOOKUP(D18,Doctor_Master!A:A,Doctor_Master!D:D)</f>
        <v>800</v>
      </c>
    </row>
    <row r="19" spans="1:13">
      <c r="A19" t="s">
        <v>73</v>
      </c>
      <c r="B19" s="1">
        <v>45809</v>
      </c>
      <c r="C19" t="s">
        <v>61</v>
      </c>
      <c r="D19" t="s">
        <v>62</v>
      </c>
      <c r="E19">
        <v>2000</v>
      </c>
      <c r="F19" t="s">
        <v>17</v>
      </c>
      <c r="G19" t="s">
        <v>51</v>
      </c>
      <c r="H19" t="s">
        <v>19</v>
      </c>
      <c r="I19" t="s">
        <v>63</v>
      </c>
      <c r="J19">
        <v>49</v>
      </c>
      <c r="K19" t="str">
        <f>_xlfn.XLOOKUP(C19,Department_Master!A:A,Department_Master!B:B)</f>
        <v>Surgery</v>
      </c>
      <c r="L19" t="str">
        <f>_xlfn.XLOOKUP(D19,Doctor_Master!A:A,Doctor_Master!B:B)</f>
        <v>Dr Iyer</v>
      </c>
      <c r="M19">
        <f>_xlfn.XLOOKUP(D19,Doctor_Master!A:A,Doctor_Master!D:D)</f>
        <v>2000</v>
      </c>
    </row>
    <row r="20" spans="1:13">
      <c r="A20" t="s">
        <v>74</v>
      </c>
      <c r="B20" s="1">
        <v>45839</v>
      </c>
      <c r="C20" t="s">
        <v>39</v>
      </c>
      <c r="D20" t="s">
        <v>40</v>
      </c>
      <c r="E20">
        <v>1500</v>
      </c>
      <c r="F20" t="s">
        <v>17</v>
      </c>
      <c r="G20" t="s">
        <v>41</v>
      </c>
      <c r="H20" t="s">
        <v>20</v>
      </c>
      <c r="I20" t="s">
        <v>42</v>
      </c>
      <c r="J20">
        <v>44</v>
      </c>
      <c r="K20" t="str">
        <f>_xlfn.XLOOKUP(C20,Department_Master!A:A,Department_Master!B:B)</f>
        <v>Cardiology</v>
      </c>
      <c r="L20" t="str">
        <f>_xlfn.XLOOKUP(D20,Doctor_Master!A:A,Doctor_Master!B:B)</f>
        <v>Dr Sharma</v>
      </c>
      <c r="M20">
        <f>_xlfn.XLOOKUP(D20,Doctor_Master!A:A,Doctor_Master!D:D)</f>
        <v>1500</v>
      </c>
    </row>
    <row r="21" spans="1:13">
      <c r="A21" t="s">
        <v>75</v>
      </c>
      <c r="B21" s="1">
        <v>45839</v>
      </c>
      <c r="C21" t="s">
        <v>44</v>
      </c>
      <c r="D21" t="s">
        <v>45</v>
      </c>
      <c r="E21">
        <v>1200</v>
      </c>
      <c r="F21" t="s">
        <v>16</v>
      </c>
      <c r="G21" t="s">
        <v>46</v>
      </c>
      <c r="H21" t="s">
        <v>20</v>
      </c>
      <c r="I21" t="s">
        <v>47</v>
      </c>
      <c r="J21">
        <v>33</v>
      </c>
      <c r="K21" t="str">
        <f>_xlfn.XLOOKUP(C21,Department_Master!A:A,Department_Master!B:B)</f>
        <v>Orthopedics</v>
      </c>
      <c r="L21" t="str">
        <f>_xlfn.XLOOKUP(D21,Doctor_Master!A:A,Doctor_Master!B:B)</f>
        <v>Dr Mehta</v>
      </c>
      <c r="M21">
        <f>_xlfn.XLOOKUP(D21,Doctor_Master!A:A,Doctor_Master!D:D)</f>
        <v>1200</v>
      </c>
    </row>
    <row r="22" spans="1:13">
      <c r="A22" t="s">
        <v>76</v>
      </c>
      <c r="B22" s="1">
        <v>45839</v>
      </c>
      <c r="C22" t="s">
        <v>49</v>
      </c>
      <c r="D22" t="s">
        <v>50</v>
      </c>
      <c r="E22">
        <v>1800</v>
      </c>
      <c r="F22" t="s">
        <v>17</v>
      </c>
      <c r="G22" t="s">
        <v>51</v>
      </c>
      <c r="H22" t="s">
        <v>19</v>
      </c>
      <c r="I22" t="s">
        <v>52</v>
      </c>
      <c r="J22">
        <v>58</v>
      </c>
      <c r="K22" t="str">
        <f>_xlfn.XLOOKUP(C22,Department_Master!A:A,Department_Master!B:B)</f>
        <v>Neurology</v>
      </c>
      <c r="L22" t="str">
        <f>_xlfn.XLOOKUP(D22,Doctor_Master!A:A,Doctor_Master!B:B)</f>
        <v>Dr Rao</v>
      </c>
      <c r="M22">
        <f>_xlfn.XLOOKUP(D22,Doctor_Master!A:A,Doctor_Master!D:D)</f>
        <v>1800</v>
      </c>
    </row>
    <row r="23" spans="1:13">
      <c r="A23" t="s">
        <v>77</v>
      </c>
      <c r="B23" s="1">
        <v>45870</v>
      </c>
      <c r="C23" t="s">
        <v>55</v>
      </c>
      <c r="D23" t="s">
        <v>56</v>
      </c>
      <c r="E23">
        <v>800</v>
      </c>
      <c r="F23" t="s">
        <v>16</v>
      </c>
      <c r="G23" t="s">
        <v>41</v>
      </c>
      <c r="H23" t="s">
        <v>20</v>
      </c>
      <c r="I23" t="s">
        <v>57</v>
      </c>
      <c r="J23">
        <v>27</v>
      </c>
      <c r="K23" t="str">
        <f>_xlfn.XLOOKUP(C23,Department_Master!A:A,Department_Master!B:B)</f>
        <v>General</v>
      </c>
      <c r="L23" t="str">
        <f>_xlfn.XLOOKUP(D23,Doctor_Master!A:A,Doctor_Master!B:B)</f>
        <v>Dr Khan</v>
      </c>
      <c r="M23">
        <f>_xlfn.XLOOKUP(D23,Doctor_Master!A:A,Doctor_Master!D:D)</f>
        <v>800</v>
      </c>
    </row>
    <row r="24" spans="1:13">
      <c r="A24" t="s">
        <v>78</v>
      </c>
      <c r="B24" s="1">
        <v>45870</v>
      </c>
      <c r="C24" t="s">
        <v>61</v>
      </c>
      <c r="D24" t="s">
        <v>62</v>
      </c>
      <c r="E24">
        <v>2000</v>
      </c>
      <c r="F24" t="s">
        <v>17</v>
      </c>
      <c r="G24" t="s">
        <v>51</v>
      </c>
      <c r="H24" t="s">
        <v>19</v>
      </c>
      <c r="I24" t="s">
        <v>63</v>
      </c>
      <c r="J24">
        <v>52</v>
      </c>
      <c r="K24" t="str">
        <f>_xlfn.XLOOKUP(C24,Department_Master!A:A,Department_Master!B:B)</f>
        <v>Surgery</v>
      </c>
      <c r="L24" t="str">
        <f>_xlfn.XLOOKUP(D24,Doctor_Master!A:A,Doctor_Master!B:B)</f>
        <v>Dr Iyer</v>
      </c>
      <c r="M24">
        <f>_xlfn.XLOOKUP(D24,Doctor_Master!A:A,Doctor_Master!D:D)</f>
        <v>2000</v>
      </c>
    </row>
    <row r="25" spans="1:13">
      <c r="A25" t="s">
        <v>79</v>
      </c>
      <c r="B25" s="1">
        <v>45870</v>
      </c>
      <c r="C25" t="s">
        <v>39</v>
      </c>
      <c r="D25" t="s">
        <v>40</v>
      </c>
      <c r="E25">
        <v>1500</v>
      </c>
      <c r="F25" t="s">
        <v>16</v>
      </c>
      <c r="G25" t="s">
        <v>46</v>
      </c>
      <c r="H25" t="s">
        <v>20</v>
      </c>
      <c r="I25" t="s">
        <v>42</v>
      </c>
      <c r="J25">
        <v>46</v>
      </c>
      <c r="K25" t="str">
        <f>_xlfn.XLOOKUP(C25,Department_Master!A:A,Department_Master!B:B)</f>
        <v>Cardiology</v>
      </c>
      <c r="L25" t="str">
        <f>_xlfn.XLOOKUP(D25,Doctor_Master!A:A,Doctor_Master!B:B)</f>
        <v>Dr Sharma</v>
      </c>
      <c r="M25">
        <f>_xlfn.XLOOKUP(D25,Doctor_Master!A:A,Doctor_Master!D:D)</f>
        <v>1500</v>
      </c>
    </row>
    <row r="26" spans="1:13">
      <c r="A26" t="s">
        <v>80</v>
      </c>
      <c r="B26" s="1">
        <v>45901</v>
      </c>
      <c r="C26" t="s">
        <v>44</v>
      </c>
      <c r="D26" t="s">
        <v>45</v>
      </c>
      <c r="E26">
        <v>1200</v>
      </c>
      <c r="F26" t="s">
        <v>17</v>
      </c>
      <c r="G26" t="s">
        <v>41</v>
      </c>
      <c r="H26" t="s">
        <v>20</v>
      </c>
      <c r="I26" t="s">
        <v>47</v>
      </c>
      <c r="J26">
        <v>35</v>
      </c>
      <c r="K26" t="str">
        <f>_xlfn.XLOOKUP(C26,Department_Master!A:A,Department_Master!B:B)</f>
        <v>Orthopedics</v>
      </c>
      <c r="L26" t="str">
        <f>_xlfn.XLOOKUP(D26,Doctor_Master!A:A,Doctor_Master!B:B)</f>
        <v>Dr Mehta</v>
      </c>
      <c r="M26">
        <f>_xlfn.XLOOKUP(D26,Doctor_Master!A:A,Doctor_Master!D:D)</f>
        <v>1200</v>
      </c>
    </row>
    <row r="27" spans="1:13">
      <c r="A27" t="s">
        <v>81</v>
      </c>
      <c r="B27" s="1">
        <v>45901</v>
      </c>
      <c r="C27" t="s">
        <v>49</v>
      </c>
      <c r="D27" t="s">
        <v>50</v>
      </c>
      <c r="E27">
        <v>1800</v>
      </c>
      <c r="F27" t="s">
        <v>17</v>
      </c>
      <c r="G27" t="s">
        <v>51</v>
      </c>
      <c r="H27" t="s">
        <v>19</v>
      </c>
      <c r="I27" t="s">
        <v>52</v>
      </c>
      <c r="J27">
        <v>60</v>
      </c>
      <c r="K27" t="str">
        <f>_xlfn.XLOOKUP(C27,Department_Master!A:A,Department_Master!B:B)</f>
        <v>Neurology</v>
      </c>
      <c r="L27" t="str">
        <f>_xlfn.XLOOKUP(D27,Doctor_Master!A:A,Doctor_Master!B:B)</f>
        <v>Dr Rao</v>
      </c>
      <c r="M27">
        <f>_xlfn.XLOOKUP(D27,Doctor_Master!A:A,Doctor_Master!D:D)</f>
        <v>1800</v>
      </c>
    </row>
    <row r="28" spans="1:13">
      <c r="A28" t="s">
        <v>82</v>
      </c>
      <c r="B28" s="1">
        <v>45901</v>
      </c>
      <c r="C28" t="s">
        <v>55</v>
      </c>
      <c r="D28" t="s">
        <v>56</v>
      </c>
      <c r="E28">
        <v>800</v>
      </c>
      <c r="F28" t="s">
        <v>16</v>
      </c>
      <c r="G28" t="s">
        <v>46</v>
      </c>
      <c r="H28" t="s">
        <v>20</v>
      </c>
      <c r="I28" t="s">
        <v>57</v>
      </c>
      <c r="J28">
        <v>31</v>
      </c>
      <c r="K28" t="str">
        <f>_xlfn.XLOOKUP(C28,Department_Master!A:A,Department_Master!B:B)</f>
        <v>General</v>
      </c>
      <c r="L28" t="str">
        <f>_xlfn.XLOOKUP(D28,Doctor_Master!A:A,Doctor_Master!B:B)</f>
        <v>Dr Khan</v>
      </c>
      <c r="M28">
        <f>_xlfn.XLOOKUP(D28,Doctor_Master!A:A,Doctor_Master!D:D)</f>
        <v>800</v>
      </c>
    </row>
    <row r="29" spans="1:13">
      <c r="A29" t="s">
        <v>83</v>
      </c>
      <c r="B29" s="1">
        <v>45931</v>
      </c>
      <c r="C29" t="s">
        <v>61</v>
      </c>
      <c r="D29" t="s">
        <v>62</v>
      </c>
      <c r="E29">
        <v>2000</v>
      </c>
      <c r="F29" t="s">
        <v>17</v>
      </c>
      <c r="G29" t="s">
        <v>51</v>
      </c>
      <c r="H29" t="s">
        <v>19</v>
      </c>
      <c r="I29" t="s">
        <v>63</v>
      </c>
      <c r="J29">
        <v>55</v>
      </c>
      <c r="K29" t="str">
        <f>_xlfn.XLOOKUP(C29,Department_Master!A:A,Department_Master!B:B)</f>
        <v>Surgery</v>
      </c>
      <c r="L29" t="str">
        <f>_xlfn.XLOOKUP(D29,Doctor_Master!A:A,Doctor_Master!B:B)</f>
        <v>Dr Iyer</v>
      </c>
      <c r="M29">
        <f>_xlfn.XLOOKUP(D29,Doctor_Master!A:A,Doctor_Master!D:D)</f>
        <v>2000</v>
      </c>
    </row>
    <row r="30" spans="1:13">
      <c r="A30" t="s">
        <v>84</v>
      </c>
      <c r="B30" s="1">
        <v>45931</v>
      </c>
      <c r="C30" t="s">
        <v>39</v>
      </c>
      <c r="D30" t="s">
        <v>40</v>
      </c>
      <c r="E30">
        <v>1500</v>
      </c>
      <c r="F30" t="s">
        <v>17</v>
      </c>
      <c r="G30" t="s">
        <v>41</v>
      </c>
      <c r="H30" t="s">
        <v>20</v>
      </c>
      <c r="I30" t="s">
        <v>42</v>
      </c>
      <c r="J30">
        <v>42</v>
      </c>
      <c r="K30" t="str">
        <f>_xlfn.XLOOKUP(C30,Department_Master!A:A,Department_Master!B:B)</f>
        <v>Cardiology</v>
      </c>
      <c r="L30" t="str">
        <f>_xlfn.XLOOKUP(D30,Doctor_Master!A:A,Doctor_Master!B:B)</f>
        <v>Dr Sharma</v>
      </c>
      <c r="M30">
        <f>_xlfn.XLOOKUP(D30,Doctor_Master!A:A,Doctor_Master!D:D)</f>
        <v>1500</v>
      </c>
    </row>
    <row r="31" spans="1:13">
      <c r="A31" t="s">
        <v>85</v>
      </c>
      <c r="B31" s="1">
        <v>45931</v>
      </c>
      <c r="C31" t="s">
        <v>44</v>
      </c>
      <c r="D31" t="s">
        <v>45</v>
      </c>
      <c r="E31">
        <v>1200</v>
      </c>
      <c r="F31" t="s">
        <v>16</v>
      </c>
      <c r="G31" t="s">
        <v>46</v>
      </c>
      <c r="H31" t="s">
        <v>20</v>
      </c>
      <c r="I31" t="s">
        <v>47</v>
      </c>
      <c r="J31">
        <v>34</v>
      </c>
      <c r="K31" t="str">
        <f>_xlfn.XLOOKUP(C31,Department_Master!A:A,Department_Master!B:B)</f>
        <v>Orthopedics</v>
      </c>
      <c r="L31" t="str">
        <f>_xlfn.XLOOKUP(D31,Doctor_Master!A:A,Doctor_Master!B:B)</f>
        <v>Dr Mehta</v>
      </c>
      <c r="M31">
        <f>_xlfn.XLOOKUP(D31,Doctor_Master!A:A,Doctor_Master!D:D)</f>
        <v>1200</v>
      </c>
    </row>
    <row r="32" spans="1:13">
      <c r="A32" t="s">
        <v>86</v>
      </c>
      <c r="B32" s="1">
        <v>45962</v>
      </c>
      <c r="C32" t="s">
        <v>49</v>
      </c>
      <c r="D32" t="s">
        <v>50</v>
      </c>
      <c r="E32">
        <v>1800</v>
      </c>
      <c r="F32" t="s">
        <v>17</v>
      </c>
      <c r="G32" t="s">
        <v>51</v>
      </c>
      <c r="H32" t="s">
        <v>19</v>
      </c>
      <c r="I32" t="s">
        <v>52</v>
      </c>
      <c r="J32">
        <v>57</v>
      </c>
      <c r="K32" t="str">
        <f>_xlfn.XLOOKUP(C32,Department_Master!A:A,Department_Master!B:B)</f>
        <v>Neurology</v>
      </c>
      <c r="L32" t="str">
        <f>_xlfn.XLOOKUP(D32,Doctor_Master!A:A,Doctor_Master!B:B)</f>
        <v>Dr Rao</v>
      </c>
      <c r="M32">
        <f>_xlfn.XLOOKUP(D32,Doctor_Master!A:A,Doctor_Master!D:D)</f>
        <v>1800</v>
      </c>
    </row>
    <row r="33" spans="1:13">
      <c r="A33" t="s">
        <v>87</v>
      </c>
      <c r="B33" s="1">
        <v>45962</v>
      </c>
      <c r="C33" t="s">
        <v>55</v>
      </c>
      <c r="D33" t="s">
        <v>56</v>
      </c>
      <c r="E33">
        <v>800</v>
      </c>
      <c r="F33" t="s">
        <v>16</v>
      </c>
      <c r="G33" t="s">
        <v>41</v>
      </c>
      <c r="H33" t="s">
        <v>20</v>
      </c>
      <c r="I33" t="s">
        <v>57</v>
      </c>
      <c r="J33">
        <v>26</v>
      </c>
      <c r="K33" t="str">
        <f>_xlfn.XLOOKUP(C33,Department_Master!A:A,Department_Master!B:B)</f>
        <v>General</v>
      </c>
      <c r="L33" t="str">
        <f>_xlfn.XLOOKUP(D33,Doctor_Master!A:A,Doctor_Master!B:B)</f>
        <v>Dr Khan</v>
      </c>
      <c r="M33">
        <f>_xlfn.XLOOKUP(D33,Doctor_Master!A:A,Doctor_Master!D:D)</f>
        <v>800</v>
      </c>
    </row>
    <row r="34" spans="1:13">
      <c r="A34" t="s">
        <v>88</v>
      </c>
      <c r="B34" s="1">
        <v>45962</v>
      </c>
      <c r="C34" t="s">
        <v>61</v>
      </c>
      <c r="D34" t="s">
        <v>62</v>
      </c>
      <c r="E34">
        <v>2000</v>
      </c>
      <c r="F34" t="s">
        <v>17</v>
      </c>
      <c r="G34" t="s">
        <v>51</v>
      </c>
      <c r="H34" t="s">
        <v>19</v>
      </c>
      <c r="I34" t="s">
        <v>63</v>
      </c>
      <c r="J34">
        <v>50</v>
      </c>
      <c r="K34" t="str">
        <f>_xlfn.XLOOKUP(C34,Department_Master!A:A,Department_Master!B:B)</f>
        <v>Surgery</v>
      </c>
      <c r="L34" t="str">
        <f>_xlfn.XLOOKUP(D34,Doctor_Master!A:A,Doctor_Master!B:B)</f>
        <v>Dr Iyer</v>
      </c>
      <c r="M34">
        <f>_xlfn.XLOOKUP(D34,Doctor_Master!A:A,Doctor_Master!D:D)</f>
        <v>2000</v>
      </c>
    </row>
    <row r="35" spans="1:13">
      <c r="A35" t="s">
        <v>89</v>
      </c>
      <c r="B35" s="1">
        <v>45992</v>
      </c>
      <c r="C35" t="s">
        <v>39</v>
      </c>
      <c r="D35" t="s">
        <v>40</v>
      </c>
      <c r="E35">
        <v>1500</v>
      </c>
      <c r="F35" t="s">
        <v>16</v>
      </c>
      <c r="G35" t="s">
        <v>46</v>
      </c>
      <c r="H35" t="s">
        <v>20</v>
      </c>
      <c r="I35" t="s">
        <v>42</v>
      </c>
      <c r="J35">
        <v>48</v>
      </c>
      <c r="K35" t="str">
        <f>_xlfn.XLOOKUP(C35,Department_Master!A:A,Department_Master!B:B)</f>
        <v>Cardiology</v>
      </c>
      <c r="L35" t="str">
        <f>_xlfn.XLOOKUP(D35,Doctor_Master!A:A,Doctor_Master!B:B)</f>
        <v>Dr Sharma</v>
      </c>
      <c r="M35">
        <f>_xlfn.XLOOKUP(D35,Doctor_Master!A:A,Doctor_Master!D:D)</f>
        <v>1500</v>
      </c>
    </row>
    <row r="36" spans="1:13">
      <c r="A36" t="s">
        <v>90</v>
      </c>
      <c r="B36" s="1">
        <v>45992</v>
      </c>
      <c r="C36" t="s">
        <v>44</v>
      </c>
      <c r="D36" t="s">
        <v>45</v>
      </c>
      <c r="E36">
        <v>1200</v>
      </c>
      <c r="F36" t="s">
        <v>17</v>
      </c>
      <c r="G36" t="s">
        <v>41</v>
      </c>
      <c r="H36" t="s">
        <v>20</v>
      </c>
      <c r="I36" t="s">
        <v>47</v>
      </c>
      <c r="J36">
        <v>36</v>
      </c>
      <c r="K36" t="str">
        <f>_xlfn.XLOOKUP(C36,Department_Master!A:A,Department_Master!B:B)</f>
        <v>Orthopedics</v>
      </c>
      <c r="L36" t="str">
        <f>_xlfn.XLOOKUP(D36,Doctor_Master!A:A,Doctor_Master!B:B)</f>
        <v>Dr Mehta</v>
      </c>
      <c r="M36">
        <f>_xlfn.XLOOKUP(D36,Doctor_Master!A:A,Doctor_Master!D:D)</f>
        <v>1200</v>
      </c>
    </row>
    <row r="37" spans="1:13">
      <c r="A37" t="s">
        <v>91</v>
      </c>
      <c r="B37" s="1">
        <v>45992</v>
      </c>
      <c r="C37" t="s">
        <v>49</v>
      </c>
      <c r="D37" t="s">
        <v>50</v>
      </c>
      <c r="E37">
        <v>1800</v>
      </c>
      <c r="F37" t="s">
        <v>17</v>
      </c>
      <c r="G37" t="s">
        <v>51</v>
      </c>
      <c r="H37" t="s">
        <v>19</v>
      </c>
      <c r="I37" t="s">
        <v>52</v>
      </c>
      <c r="J37">
        <v>63</v>
      </c>
      <c r="K37" t="str">
        <f>_xlfn.XLOOKUP(C37,Department_Master!A:A,Department_Master!B:B)</f>
        <v>Neurology</v>
      </c>
      <c r="L37" t="str">
        <f>_xlfn.XLOOKUP(D37,Doctor_Master!A:A,Doctor_Master!B:B)</f>
        <v>Dr Rao</v>
      </c>
      <c r="M37">
        <f>_xlfn.XLOOKUP(D37,Doctor_Master!A:A,Doctor_Master!D:D)</f>
        <v>1800</v>
      </c>
    </row>
    <row r="38" spans="1:13">
      <c r="A38" t="s">
        <v>92</v>
      </c>
      <c r="B38" t="s">
        <v>93</v>
      </c>
      <c r="C38" t="s">
        <v>55</v>
      </c>
      <c r="D38" t="s">
        <v>56</v>
      </c>
      <c r="E38">
        <v>800</v>
      </c>
      <c r="F38" t="s">
        <v>16</v>
      </c>
      <c r="G38" t="s">
        <v>46</v>
      </c>
      <c r="H38" t="s">
        <v>20</v>
      </c>
      <c r="I38" t="s">
        <v>57</v>
      </c>
      <c r="J38">
        <v>29</v>
      </c>
      <c r="K38" t="str">
        <f>_xlfn.XLOOKUP(C38,Department_Master!A:A,Department_Master!B:B)</f>
        <v>General</v>
      </c>
      <c r="L38" t="str">
        <f>_xlfn.XLOOKUP(D38,Doctor_Master!A:A,Doctor_Master!B:B)</f>
        <v>Dr Khan</v>
      </c>
      <c r="M38">
        <f>_xlfn.XLOOKUP(D38,Doctor_Master!A:A,Doctor_Master!D:D)</f>
        <v>800</v>
      </c>
    </row>
    <row r="39" spans="1:13">
      <c r="A39" t="s">
        <v>94</v>
      </c>
      <c r="B39" t="s">
        <v>93</v>
      </c>
      <c r="C39" t="s">
        <v>61</v>
      </c>
      <c r="D39" t="s">
        <v>62</v>
      </c>
      <c r="E39">
        <v>2000</v>
      </c>
      <c r="F39" t="s">
        <v>17</v>
      </c>
      <c r="G39" t="s">
        <v>51</v>
      </c>
      <c r="H39" t="s">
        <v>19</v>
      </c>
      <c r="I39" t="s">
        <v>63</v>
      </c>
      <c r="J39">
        <v>53</v>
      </c>
      <c r="K39" t="str">
        <f>_xlfn.XLOOKUP(C39,Department_Master!A:A,Department_Master!B:B)</f>
        <v>Surgery</v>
      </c>
      <c r="L39" t="str">
        <f>_xlfn.XLOOKUP(D39,Doctor_Master!A:A,Doctor_Master!B:B)</f>
        <v>Dr Iyer</v>
      </c>
      <c r="M39">
        <f>_xlfn.XLOOKUP(D39,Doctor_Master!A:A,Doctor_Master!D:D)</f>
        <v>2000</v>
      </c>
    </row>
    <row r="40" spans="1:13">
      <c r="A40" t="s">
        <v>95</v>
      </c>
      <c r="B40" t="s">
        <v>93</v>
      </c>
      <c r="C40" t="s">
        <v>39</v>
      </c>
      <c r="D40" t="s">
        <v>40</v>
      </c>
      <c r="E40">
        <v>1500</v>
      </c>
      <c r="F40" t="s">
        <v>17</v>
      </c>
      <c r="G40" t="s">
        <v>41</v>
      </c>
      <c r="H40" t="s">
        <v>20</v>
      </c>
      <c r="I40" t="s">
        <v>42</v>
      </c>
      <c r="J40">
        <v>43</v>
      </c>
      <c r="K40" t="str">
        <f>_xlfn.XLOOKUP(C40,Department_Master!A:A,Department_Master!B:B)</f>
        <v>Cardiology</v>
      </c>
      <c r="L40" t="str">
        <f>_xlfn.XLOOKUP(D40,Doctor_Master!A:A,Doctor_Master!B:B)</f>
        <v>Dr Sharma</v>
      </c>
      <c r="M40">
        <f>_xlfn.XLOOKUP(D40,Doctor_Master!A:A,Doctor_Master!D:D)</f>
        <v>1500</v>
      </c>
    </row>
    <row r="41" spans="1:13">
      <c r="A41" t="s">
        <v>96</v>
      </c>
      <c r="B41" t="s">
        <v>97</v>
      </c>
      <c r="C41" t="s">
        <v>44</v>
      </c>
      <c r="D41" t="s">
        <v>45</v>
      </c>
      <c r="E41">
        <v>1200</v>
      </c>
      <c r="F41" t="s">
        <v>16</v>
      </c>
      <c r="G41" t="s">
        <v>46</v>
      </c>
      <c r="H41" t="s">
        <v>20</v>
      </c>
      <c r="I41" t="s">
        <v>47</v>
      </c>
      <c r="J41">
        <v>35</v>
      </c>
      <c r="K41" t="str">
        <f>_xlfn.XLOOKUP(C41,Department_Master!A:A,Department_Master!B:B)</f>
        <v>Orthopedics</v>
      </c>
      <c r="L41" t="str">
        <f>_xlfn.XLOOKUP(D41,Doctor_Master!A:A,Doctor_Master!B:B)</f>
        <v>Dr Mehta</v>
      </c>
      <c r="M41">
        <f>_xlfn.XLOOKUP(D41,Doctor_Master!A:A,Doctor_Master!D:D)</f>
        <v>1200</v>
      </c>
    </row>
    <row r="42" spans="1:13">
      <c r="A42" t="s">
        <v>98</v>
      </c>
      <c r="B42" t="s">
        <v>97</v>
      </c>
      <c r="C42" t="s">
        <v>49</v>
      </c>
      <c r="D42" t="s">
        <v>50</v>
      </c>
      <c r="E42">
        <v>1800</v>
      </c>
      <c r="F42" t="s">
        <v>17</v>
      </c>
      <c r="G42" t="s">
        <v>51</v>
      </c>
      <c r="H42" t="s">
        <v>19</v>
      </c>
      <c r="I42" t="s">
        <v>52</v>
      </c>
      <c r="J42">
        <v>58</v>
      </c>
      <c r="K42" t="str">
        <f>_xlfn.XLOOKUP(C42,Department_Master!A:A,Department_Master!B:B)</f>
        <v>Neurology</v>
      </c>
      <c r="L42" t="str">
        <f>_xlfn.XLOOKUP(D42,Doctor_Master!A:A,Doctor_Master!B:B)</f>
        <v>Dr Rao</v>
      </c>
      <c r="M42">
        <f>_xlfn.XLOOKUP(D42,Doctor_Master!A:A,Doctor_Master!D:D)</f>
        <v>1800</v>
      </c>
    </row>
    <row r="43" spans="1:13">
      <c r="A43" t="s">
        <v>99</v>
      </c>
      <c r="B43" t="s">
        <v>97</v>
      </c>
      <c r="C43" t="s">
        <v>55</v>
      </c>
      <c r="D43" t="s">
        <v>56</v>
      </c>
      <c r="E43">
        <v>800</v>
      </c>
      <c r="F43" t="s">
        <v>16</v>
      </c>
      <c r="G43" t="s">
        <v>41</v>
      </c>
      <c r="H43" t="s">
        <v>20</v>
      </c>
      <c r="I43" t="s">
        <v>57</v>
      </c>
      <c r="J43">
        <v>28</v>
      </c>
      <c r="K43" t="str">
        <f>_xlfn.XLOOKUP(C43,Department_Master!A:A,Department_Master!B:B)</f>
        <v>General</v>
      </c>
      <c r="L43" t="str">
        <f>_xlfn.XLOOKUP(D43,Doctor_Master!A:A,Doctor_Master!B:B)</f>
        <v>Dr Khan</v>
      </c>
      <c r="M43">
        <f>_xlfn.XLOOKUP(D43,Doctor_Master!A:A,Doctor_Master!D:D)</f>
        <v>800</v>
      </c>
    </row>
    <row r="44" spans="1:13">
      <c r="A44" t="s">
        <v>100</v>
      </c>
      <c r="B44" t="s">
        <v>101</v>
      </c>
      <c r="C44" t="s">
        <v>61</v>
      </c>
      <c r="D44" t="s">
        <v>62</v>
      </c>
      <c r="E44">
        <v>2000</v>
      </c>
      <c r="F44" t="s">
        <v>17</v>
      </c>
      <c r="G44" t="s">
        <v>51</v>
      </c>
      <c r="H44" t="s">
        <v>19</v>
      </c>
      <c r="I44" t="s">
        <v>63</v>
      </c>
      <c r="J44">
        <v>54</v>
      </c>
      <c r="K44" t="str">
        <f>_xlfn.XLOOKUP(C44,Department_Master!A:A,Department_Master!B:B)</f>
        <v>Surgery</v>
      </c>
      <c r="L44" t="str">
        <f>_xlfn.XLOOKUP(D44,Doctor_Master!A:A,Doctor_Master!B:B)</f>
        <v>Dr Iyer</v>
      </c>
      <c r="M44">
        <f>_xlfn.XLOOKUP(D44,Doctor_Master!A:A,Doctor_Master!D:D)</f>
        <v>2000</v>
      </c>
    </row>
    <row r="45" spans="1:13">
      <c r="A45" t="s">
        <v>102</v>
      </c>
      <c r="B45" t="s">
        <v>101</v>
      </c>
      <c r="C45" t="s">
        <v>39</v>
      </c>
      <c r="D45" t="s">
        <v>40</v>
      </c>
      <c r="E45">
        <v>1500</v>
      </c>
      <c r="F45" t="s">
        <v>16</v>
      </c>
      <c r="G45" t="s">
        <v>46</v>
      </c>
      <c r="H45" t="s">
        <v>20</v>
      </c>
      <c r="I45" t="s">
        <v>42</v>
      </c>
      <c r="J45">
        <v>46</v>
      </c>
      <c r="K45" t="str">
        <f>_xlfn.XLOOKUP(C45,Department_Master!A:A,Department_Master!B:B)</f>
        <v>Cardiology</v>
      </c>
      <c r="L45" t="str">
        <f>_xlfn.XLOOKUP(D45,Doctor_Master!A:A,Doctor_Master!B:B)</f>
        <v>Dr Sharma</v>
      </c>
      <c r="M45">
        <f>_xlfn.XLOOKUP(D45,Doctor_Master!A:A,Doctor_Master!D:D)</f>
        <v>1500</v>
      </c>
    </row>
    <row r="46" spans="1:13">
      <c r="A46" t="s">
        <v>103</v>
      </c>
      <c r="B46" t="s">
        <v>101</v>
      </c>
      <c r="C46" t="s">
        <v>44</v>
      </c>
      <c r="D46" t="s">
        <v>45</v>
      </c>
      <c r="E46">
        <v>1200</v>
      </c>
      <c r="F46" t="s">
        <v>17</v>
      </c>
      <c r="G46" t="s">
        <v>41</v>
      </c>
      <c r="H46" t="s">
        <v>20</v>
      </c>
      <c r="I46" t="s">
        <v>47</v>
      </c>
      <c r="J46">
        <v>37</v>
      </c>
      <c r="K46" t="str">
        <f>_xlfn.XLOOKUP(C46,Department_Master!A:A,Department_Master!B:B)</f>
        <v>Orthopedics</v>
      </c>
      <c r="L46" t="str">
        <f>_xlfn.XLOOKUP(D46,Doctor_Master!A:A,Doctor_Master!B:B)</f>
        <v>Dr Mehta</v>
      </c>
      <c r="M46">
        <f>_xlfn.XLOOKUP(D46,Doctor_Master!A:A,Doctor_Master!D:D)</f>
        <v>1200</v>
      </c>
    </row>
    <row r="47" spans="1:13">
      <c r="A47" t="s">
        <v>104</v>
      </c>
      <c r="B47" t="s">
        <v>105</v>
      </c>
      <c r="C47" t="s">
        <v>49</v>
      </c>
      <c r="D47" t="s">
        <v>50</v>
      </c>
      <c r="E47">
        <v>1800</v>
      </c>
      <c r="F47" t="s">
        <v>17</v>
      </c>
      <c r="G47" t="s">
        <v>51</v>
      </c>
      <c r="H47" t="s">
        <v>19</v>
      </c>
      <c r="I47" t="s">
        <v>52</v>
      </c>
      <c r="J47">
        <v>60</v>
      </c>
      <c r="K47" t="str">
        <f>_xlfn.XLOOKUP(C47,Department_Master!A:A,Department_Master!B:B)</f>
        <v>Neurology</v>
      </c>
      <c r="L47" t="str">
        <f>_xlfn.XLOOKUP(D47,Doctor_Master!A:A,Doctor_Master!B:B)</f>
        <v>Dr Rao</v>
      </c>
      <c r="M47">
        <f>_xlfn.XLOOKUP(D47,Doctor_Master!A:A,Doctor_Master!D:D)</f>
        <v>1800</v>
      </c>
    </row>
    <row r="48" spans="1:13">
      <c r="A48" t="s">
        <v>106</v>
      </c>
      <c r="B48" t="s">
        <v>105</v>
      </c>
      <c r="C48" t="s">
        <v>55</v>
      </c>
      <c r="D48" t="s">
        <v>56</v>
      </c>
      <c r="E48">
        <v>800</v>
      </c>
      <c r="F48" t="s">
        <v>16</v>
      </c>
      <c r="G48" t="s">
        <v>46</v>
      </c>
      <c r="H48" t="s">
        <v>20</v>
      </c>
      <c r="I48" t="s">
        <v>57</v>
      </c>
      <c r="J48">
        <v>30</v>
      </c>
      <c r="K48" t="str">
        <f>_xlfn.XLOOKUP(C48,Department_Master!A:A,Department_Master!B:B)</f>
        <v>General</v>
      </c>
      <c r="L48" t="str">
        <f>_xlfn.XLOOKUP(D48,Doctor_Master!A:A,Doctor_Master!B:B)</f>
        <v>Dr Khan</v>
      </c>
      <c r="M48">
        <f>_xlfn.XLOOKUP(D48,Doctor_Master!A:A,Doctor_Master!D:D)</f>
        <v>800</v>
      </c>
    </row>
    <row r="49" spans="1:13">
      <c r="A49" t="s">
        <v>107</v>
      </c>
      <c r="B49" t="s">
        <v>105</v>
      </c>
      <c r="C49" t="s">
        <v>61</v>
      </c>
      <c r="D49" t="s">
        <v>62</v>
      </c>
      <c r="E49">
        <v>2000</v>
      </c>
      <c r="F49" t="s">
        <v>17</v>
      </c>
      <c r="G49" t="s">
        <v>51</v>
      </c>
      <c r="H49" t="s">
        <v>19</v>
      </c>
      <c r="I49" t="s">
        <v>63</v>
      </c>
      <c r="J49">
        <v>51</v>
      </c>
      <c r="K49" t="str">
        <f>_xlfn.XLOOKUP(C49,Department_Master!A:A,Department_Master!B:B)</f>
        <v>Surgery</v>
      </c>
      <c r="L49" t="str">
        <f>_xlfn.XLOOKUP(D49,Doctor_Master!A:A,Doctor_Master!B:B)</f>
        <v>Dr Iyer</v>
      </c>
      <c r="M49">
        <f>_xlfn.XLOOKUP(D49,Doctor_Master!A:A,Doctor_Master!D:D)</f>
        <v>2000</v>
      </c>
    </row>
    <row r="50" spans="1:13">
      <c r="A50" t="s">
        <v>108</v>
      </c>
      <c r="B50" t="s">
        <v>109</v>
      </c>
      <c r="C50" t="s">
        <v>39</v>
      </c>
      <c r="D50" t="s">
        <v>40</v>
      </c>
      <c r="E50">
        <v>1500</v>
      </c>
      <c r="F50" t="s">
        <v>17</v>
      </c>
      <c r="G50" t="s">
        <v>41</v>
      </c>
      <c r="H50" t="s">
        <v>20</v>
      </c>
      <c r="I50" t="s">
        <v>42</v>
      </c>
      <c r="J50">
        <v>44</v>
      </c>
      <c r="K50" t="str">
        <f>_xlfn.XLOOKUP(C50,Department_Master!A:A,Department_Master!B:B)</f>
        <v>Cardiology</v>
      </c>
      <c r="L50" t="str">
        <f>_xlfn.XLOOKUP(D50,Doctor_Master!A:A,Doctor_Master!B:B)</f>
        <v>Dr Sharma</v>
      </c>
      <c r="M50">
        <f>_xlfn.XLOOKUP(D50,Doctor_Master!A:A,Doctor_Master!D:D)</f>
        <v>1500</v>
      </c>
    </row>
    <row r="51" spans="1:13">
      <c r="A51" t="s">
        <v>110</v>
      </c>
      <c r="B51" t="s">
        <v>109</v>
      </c>
      <c r="C51" t="s">
        <v>44</v>
      </c>
      <c r="D51" t="s">
        <v>45</v>
      </c>
      <c r="E51">
        <v>1200</v>
      </c>
      <c r="F51" t="s">
        <v>16</v>
      </c>
      <c r="G51" t="s">
        <v>46</v>
      </c>
      <c r="H51" t="s">
        <v>20</v>
      </c>
      <c r="I51" t="s">
        <v>47</v>
      </c>
      <c r="J51">
        <v>33</v>
      </c>
      <c r="K51" t="str">
        <f>_xlfn.XLOOKUP(C51,Department_Master!A:A,Department_Master!B:B)</f>
        <v>Orthopedics</v>
      </c>
      <c r="L51" t="str">
        <f>_xlfn.XLOOKUP(D51,Doctor_Master!A:A,Doctor_Master!B:B)</f>
        <v>Dr Mehta</v>
      </c>
      <c r="M51">
        <f>_xlfn.XLOOKUP(D51,Doctor_Master!A:A,Doctor_Master!D:D)</f>
        <v>1200</v>
      </c>
    </row>
    <row r="52" spans="1:13">
      <c r="A52" t="s">
        <v>111</v>
      </c>
      <c r="B52" t="s">
        <v>109</v>
      </c>
      <c r="C52" t="s">
        <v>49</v>
      </c>
      <c r="D52" t="s">
        <v>50</v>
      </c>
      <c r="E52">
        <v>1800</v>
      </c>
      <c r="F52" t="s">
        <v>17</v>
      </c>
      <c r="G52" t="s">
        <v>51</v>
      </c>
      <c r="H52" t="s">
        <v>19</v>
      </c>
      <c r="I52" t="s">
        <v>52</v>
      </c>
      <c r="J52">
        <v>59</v>
      </c>
      <c r="K52" t="str">
        <f>_xlfn.XLOOKUP(C52,Department_Master!A:A,Department_Master!B:B)</f>
        <v>Neurology</v>
      </c>
      <c r="L52" t="str">
        <f>_xlfn.XLOOKUP(D52,Doctor_Master!A:A,Doctor_Master!B:B)</f>
        <v>Dr Rao</v>
      </c>
      <c r="M52">
        <f>_xlfn.XLOOKUP(D52,Doctor_Master!A:A,Doctor_Master!D:D)</f>
        <v>1800</v>
      </c>
    </row>
    <row r="53" spans="1:13">
      <c r="A53" t="s">
        <v>112</v>
      </c>
      <c r="B53" t="s">
        <v>113</v>
      </c>
      <c r="C53" t="s">
        <v>55</v>
      </c>
      <c r="D53" t="s">
        <v>56</v>
      </c>
      <c r="E53">
        <v>800</v>
      </c>
      <c r="F53" t="s">
        <v>16</v>
      </c>
      <c r="G53" t="s">
        <v>41</v>
      </c>
      <c r="H53" t="s">
        <v>20</v>
      </c>
      <c r="I53" t="s">
        <v>57</v>
      </c>
      <c r="J53">
        <v>27</v>
      </c>
      <c r="K53" t="str">
        <f>_xlfn.XLOOKUP(C53,Department_Master!A:A,Department_Master!B:B)</f>
        <v>General</v>
      </c>
      <c r="L53" t="str">
        <f>_xlfn.XLOOKUP(D53,Doctor_Master!A:A,Doctor_Master!B:B)</f>
        <v>Dr Khan</v>
      </c>
      <c r="M53">
        <f>_xlfn.XLOOKUP(D53,Doctor_Master!A:A,Doctor_Master!D:D)</f>
        <v>800</v>
      </c>
    </row>
    <row r="54" spans="1:13">
      <c r="A54" t="s">
        <v>114</v>
      </c>
      <c r="B54" t="s">
        <v>113</v>
      </c>
      <c r="C54" t="s">
        <v>61</v>
      </c>
      <c r="D54" t="s">
        <v>62</v>
      </c>
      <c r="E54">
        <v>2000</v>
      </c>
      <c r="F54" t="s">
        <v>17</v>
      </c>
      <c r="G54" t="s">
        <v>51</v>
      </c>
      <c r="H54" t="s">
        <v>19</v>
      </c>
      <c r="I54" t="s">
        <v>63</v>
      </c>
      <c r="J54">
        <v>52</v>
      </c>
      <c r="K54" t="str">
        <f>_xlfn.XLOOKUP(C54,Department_Master!A:A,Department_Master!B:B)</f>
        <v>Surgery</v>
      </c>
      <c r="L54" t="str">
        <f>_xlfn.XLOOKUP(D54,Doctor_Master!A:A,Doctor_Master!B:B)</f>
        <v>Dr Iyer</v>
      </c>
      <c r="M54">
        <f>_xlfn.XLOOKUP(D54,Doctor_Master!A:A,Doctor_Master!D:D)</f>
        <v>2000</v>
      </c>
    </row>
    <row r="55" spans="1:13">
      <c r="A55" t="s">
        <v>115</v>
      </c>
      <c r="B55" t="s">
        <v>113</v>
      </c>
      <c r="C55" t="s">
        <v>39</v>
      </c>
      <c r="D55" t="s">
        <v>40</v>
      </c>
      <c r="E55">
        <v>1500</v>
      </c>
      <c r="F55" t="s">
        <v>16</v>
      </c>
      <c r="G55" t="s">
        <v>46</v>
      </c>
      <c r="H55" t="s">
        <v>20</v>
      </c>
      <c r="I55" t="s">
        <v>42</v>
      </c>
      <c r="J55">
        <v>45</v>
      </c>
      <c r="K55" t="str">
        <f>_xlfn.XLOOKUP(C55,Department_Master!A:A,Department_Master!B:B)</f>
        <v>Cardiology</v>
      </c>
      <c r="L55" t="str">
        <f>_xlfn.XLOOKUP(D55,Doctor_Master!A:A,Doctor_Master!B:B)</f>
        <v>Dr Sharma</v>
      </c>
      <c r="M55">
        <f>_xlfn.XLOOKUP(D55,Doctor_Master!A:A,Doctor_Master!D:D)</f>
        <v>1500</v>
      </c>
    </row>
    <row r="56" spans="1:13">
      <c r="A56" t="s">
        <v>116</v>
      </c>
      <c r="B56" t="s">
        <v>117</v>
      </c>
      <c r="C56" t="s">
        <v>44</v>
      </c>
      <c r="D56" t="s">
        <v>45</v>
      </c>
      <c r="E56">
        <v>1200</v>
      </c>
      <c r="F56" t="s">
        <v>17</v>
      </c>
      <c r="G56" t="s">
        <v>41</v>
      </c>
      <c r="H56" t="s">
        <v>20</v>
      </c>
      <c r="I56" t="s">
        <v>47</v>
      </c>
      <c r="J56">
        <v>34</v>
      </c>
      <c r="K56" t="str">
        <f>_xlfn.XLOOKUP(C56,Department_Master!A:A,Department_Master!B:B)</f>
        <v>Orthopedics</v>
      </c>
      <c r="L56" t="str">
        <f>_xlfn.XLOOKUP(D56,Doctor_Master!A:A,Doctor_Master!B:B)</f>
        <v>Dr Mehta</v>
      </c>
      <c r="M56">
        <f>_xlfn.XLOOKUP(D56,Doctor_Master!A:A,Doctor_Master!D:D)</f>
        <v>1200</v>
      </c>
    </row>
    <row r="57" spans="1:13">
      <c r="A57" t="s">
        <v>118</v>
      </c>
      <c r="B57" t="s">
        <v>117</v>
      </c>
      <c r="C57" t="s">
        <v>49</v>
      </c>
      <c r="D57" t="s">
        <v>50</v>
      </c>
      <c r="E57">
        <v>1800</v>
      </c>
      <c r="F57" t="s">
        <v>17</v>
      </c>
      <c r="G57" t="s">
        <v>51</v>
      </c>
      <c r="H57" t="s">
        <v>19</v>
      </c>
      <c r="I57" t="s">
        <v>52</v>
      </c>
      <c r="J57">
        <v>61</v>
      </c>
      <c r="K57" t="str">
        <f>_xlfn.XLOOKUP(C57,Department_Master!A:A,Department_Master!B:B)</f>
        <v>Neurology</v>
      </c>
      <c r="L57" t="str">
        <f>_xlfn.XLOOKUP(D57,Doctor_Master!A:A,Doctor_Master!B:B)</f>
        <v>Dr Rao</v>
      </c>
      <c r="M57">
        <f>_xlfn.XLOOKUP(D57,Doctor_Master!A:A,Doctor_Master!D:D)</f>
        <v>1800</v>
      </c>
    </row>
    <row r="58" spans="1:13">
      <c r="A58" t="s">
        <v>119</v>
      </c>
      <c r="B58" t="s">
        <v>117</v>
      </c>
      <c r="C58" t="s">
        <v>55</v>
      </c>
      <c r="D58" t="s">
        <v>56</v>
      </c>
      <c r="E58">
        <v>800</v>
      </c>
      <c r="F58" t="s">
        <v>16</v>
      </c>
      <c r="G58" t="s">
        <v>46</v>
      </c>
      <c r="H58" t="s">
        <v>20</v>
      </c>
      <c r="I58" t="s">
        <v>57</v>
      </c>
      <c r="J58">
        <v>28</v>
      </c>
      <c r="K58" t="str">
        <f>_xlfn.XLOOKUP(C58,Department_Master!A:A,Department_Master!B:B)</f>
        <v>General</v>
      </c>
      <c r="L58" t="str">
        <f>_xlfn.XLOOKUP(D58,Doctor_Master!A:A,Doctor_Master!B:B)</f>
        <v>Dr Khan</v>
      </c>
      <c r="M58">
        <f>_xlfn.XLOOKUP(D58,Doctor_Master!A:A,Doctor_Master!D:D)</f>
        <v>800</v>
      </c>
    </row>
    <row r="59" spans="1:13">
      <c r="A59" t="s">
        <v>120</v>
      </c>
      <c r="B59" t="s">
        <v>121</v>
      </c>
      <c r="C59" t="s">
        <v>61</v>
      </c>
      <c r="D59" t="s">
        <v>62</v>
      </c>
      <c r="E59">
        <v>2000</v>
      </c>
      <c r="F59" t="s">
        <v>17</v>
      </c>
      <c r="G59" t="s">
        <v>51</v>
      </c>
      <c r="H59" t="s">
        <v>19</v>
      </c>
      <c r="I59" t="s">
        <v>63</v>
      </c>
      <c r="J59">
        <v>53</v>
      </c>
      <c r="K59" t="str">
        <f>_xlfn.XLOOKUP(C59,Department_Master!A:A,Department_Master!B:B)</f>
        <v>Surgery</v>
      </c>
      <c r="L59" t="str">
        <f>_xlfn.XLOOKUP(D59,Doctor_Master!A:A,Doctor_Master!B:B)</f>
        <v>Dr Iyer</v>
      </c>
      <c r="M59">
        <f>_xlfn.XLOOKUP(D59,Doctor_Master!A:A,Doctor_Master!D:D)</f>
        <v>2000</v>
      </c>
    </row>
    <row r="60" spans="1:13">
      <c r="A60" t="s">
        <v>122</v>
      </c>
      <c r="B60" t="s">
        <v>121</v>
      </c>
      <c r="C60" t="s">
        <v>39</v>
      </c>
      <c r="D60" t="s">
        <v>40</v>
      </c>
      <c r="E60">
        <v>1500</v>
      </c>
      <c r="F60" t="s">
        <v>17</v>
      </c>
      <c r="G60" t="s">
        <v>41</v>
      </c>
      <c r="H60" t="s">
        <v>20</v>
      </c>
      <c r="I60" t="s">
        <v>42</v>
      </c>
      <c r="J60">
        <v>43</v>
      </c>
      <c r="K60" t="str">
        <f>_xlfn.XLOOKUP(C60,Department_Master!A:A,Department_Master!B:B)</f>
        <v>Cardiology</v>
      </c>
      <c r="L60" t="str">
        <f>_xlfn.XLOOKUP(D60,Doctor_Master!A:A,Doctor_Master!B:B)</f>
        <v>Dr Sharma</v>
      </c>
      <c r="M60">
        <f>_xlfn.XLOOKUP(D60,Doctor_Master!A:A,Doctor_Master!D:D)</f>
        <v>1500</v>
      </c>
    </row>
    <row r="61" spans="1:13">
      <c r="A61" t="s">
        <v>123</v>
      </c>
      <c r="B61" t="s">
        <v>121</v>
      </c>
      <c r="C61" t="s">
        <v>44</v>
      </c>
      <c r="D61" t="s">
        <v>45</v>
      </c>
      <c r="E61">
        <v>1200</v>
      </c>
      <c r="F61" t="s">
        <v>16</v>
      </c>
      <c r="G61" t="s">
        <v>46</v>
      </c>
      <c r="H61" t="s">
        <v>20</v>
      </c>
      <c r="I61" t="s">
        <v>47</v>
      </c>
      <c r="J61">
        <v>36</v>
      </c>
      <c r="K61" t="str">
        <f>_xlfn.XLOOKUP(C61,Department_Master!A:A,Department_Master!B:B)</f>
        <v>Orthopedics</v>
      </c>
      <c r="L61" t="str">
        <f>_xlfn.XLOOKUP(D61,Doctor_Master!A:A,Doctor_Master!B:B)</f>
        <v>Dr Mehta</v>
      </c>
      <c r="M61">
        <f>_xlfn.XLOOKUP(D61,Doctor_Master!A:A,Doctor_Master!D:D)</f>
        <v>1200</v>
      </c>
    </row>
    <row r="62" spans="1:13">
      <c r="A62" t="s">
        <v>124</v>
      </c>
      <c r="B62" t="s">
        <v>125</v>
      </c>
      <c r="C62" t="s">
        <v>49</v>
      </c>
      <c r="D62" t="s">
        <v>50</v>
      </c>
      <c r="E62">
        <v>1800</v>
      </c>
      <c r="F62" t="s">
        <v>17</v>
      </c>
      <c r="G62" t="s">
        <v>51</v>
      </c>
      <c r="H62" t="s">
        <v>19</v>
      </c>
      <c r="I62" t="s">
        <v>52</v>
      </c>
      <c r="J62">
        <v>58</v>
      </c>
      <c r="K62" t="str">
        <f>_xlfn.XLOOKUP(C62,Department_Master!A:A,Department_Master!B:B)</f>
        <v>Neurology</v>
      </c>
      <c r="L62" t="str">
        <f>_xlfn.XLOOKUP(D62,Doctor_Master!A:A,Doctor_Master!B:B)</f>
        <v>Dr Rao</v>
      </c>
      <c r="M62">
        <f>_xlfn.XLOOKUP(D62,Doctor_Master!A:A,Doctor_Master!D:D)</f>
        <v>1800</v>
      </c>
    </row>
    <row r="63" spans="1:13">
      <c r="A63" t="s">
        <v>126</v>
      </c>
      <c r="B63" t="s">
        <v>125</v>
      </c>
      <c r="C63" t="s">
        <v>55</v>
      </c>
      <c r="D63" t="s">
        <v>56</v>
      </c>
      <c r="E63">
        <v>800</v>
      </c>
      <c r="F63" t="s">
        <v>16</v>
      </c>
      <c r="G63" t="s">
        <v>41</v>
      </c>
      <c r="H63" t="s">
        <v>20</v>
      </c>
      <c r="I63" t="s">
        <v>57</v>
      </c>
      <c r="J63">
        <v>29</v>
      </c>
      <c r="K63" t="str">
        <f>_xlfn.XLOOKUP(C63,Department_Master!A:A,Department_Master!B:B)</f>
        <v>General</v>
      </c>
      <c r="L63" t="str">
        <f>_xlfn.XLOOKUP(D63,Doctor_Master!A:A,Doctor_Master!B:B)</f>
        <v>Dr Khan</v>
      </c>
      <c r="M63">
        <f>_xlfn.XLOOKUP(D63,Doctor_Master!A:A,Doctor_Master!D:D)</f>
        <v>800</v>
      </c>
    </row>
    <row r="64" spans="1:13">
      <c r="A64" t="s">
        <v>127</v>
      </c>
      <c r="B64" t="s">
        <v>125</v>
      </c>
      <c r="C64" t="s">
        <v>61</v>
      </c>
      <c r="D64" t="s">
        <v>62</v>
      </c>
      <c r="E64">
        <v>2000</v>
      </c>
      <c r="F64" t="s">
        <v>17</v>
      </c>
      <c r="G64" t="s">
        <v>51</v>
      </c>
      <c r="H64" t="s">
        <v>19</v>
      </c>
      <c r="I64" t="s">
        <v>63</v>
      </c>
      <c r="J64">
        <v>54</v>
      </c>
      <c r="K64" t="str">
        <f>_xlfn.XLOOKUP(C64,Department_Master!A:A,Department_Master!B:B)</f>
        <v>Surgery</v>
      </c>
      <c r="L64" t="str">
        <f>_xlfn.XLOOKUP(D64,Doctor_Master!A:A,Doctor_Master!B:B)</f>
        <v>Dr Iyer</v>
      </c>
      <c r="M64">
        <f>_xlfn.XLOOKUP(D64,Doctor_Master!A:A,Doctor_Master!D:D)</f>
        <v>2000</v>
      </c>
    </row>
    <row r="65" spans="1:13">
      <c r="A65" t="s">
        <v>128</v>
      </c>
      <c r="B65" t="s">
        <v>129</v>
      </c>
      <c r="C65" t="s">
        <v>39</v>
      </c>
      <c r="D65" t="s">
        <v>40</v>
      </c>
      <c r="E65">
        <v>1500</v>
      </c>
      <c r="F65" t="s">
        <v>16</v>
      </c>
      <c r="G65" t="s">
        <v>46</v>
      </c>
      <c r="H65" t="s">
        <v>20</v>
      </c>
      <c r="I65" t="s">
        <v>42</v>
      </c>
      <c r="J65">
        <v>46</v>
      </c>
      <c r="K65" t="str">
        <f>_xlfn.XLOOKUP(C65,Department_Master!A:A,Department_Master!B:B)</f>
        <v>Cardiology</v>
      </c>
      <c r="L65" t="str">
        <f>_xlfn.XLOOKUP(D65,Doctor_Master!A:A,Doctor_Master!B:B)</f>
        <v>Dr Sharma</v>
      </c>
      <c r="M65">
        <f>_xlfn.XLOOKUP(D65,Doctor_Master!A:A,Doctor_Master!D:D)</f>
        <v>1500</v>
      </c>
    </row>
    <row r="66" spans="1:13">
      <c r="A66" t="s">
        <v>130</v>
      </c>
      <c r="B66" t="s">
        <v>129</v>
      </c>
      <c r="C66" t="s">
        <v>44</v>
      </c>
      <c r="D66" t="s">
        <v>45</v>
      </c>
      <c r="E66">
        <v>1200</v>
      </c>
      <c r="F66" t="s">
        <v>17</v>
      </c>
      <c r="G66" t="s">
        <v>41</v>
      </c>
      <c r="H66" t="s">
        <v>20</v>
      </c>
      <c r="I66" t="s">
        <v>47</v>
      </c>
      <c r="J66">
        <v>35</v>
      </c>
      <c r="K66" t="str">
        <f>_xlfn.XLOOKUP(C66,Department_Master!A:A,Department_Master!B:B)</f>
        <v>Orthopedics</v>
      </c>
      <c r="L66" t="str">
        <f>_xlfn.XLOOKUP(D66,Doctor_Master!A:A,Doctor_Master!B:B)</f>
        <v>Dr Mehta</v>
      </c>
      <c r="M66">
        <f>_xlfn.XLOOKUP(D66,Doctor_Master!A:A,Doctor_Master!D:D)</f>
        <v>1200</v>
      </c>
    </row>
    <row r="67" spans="1:13">
      <c r="A67" t="s">
        <v>131</v>
      </c>
      <c r="B67" t="s">
        <v>129</v>
      </c>
      <c r="C67" t="s">
        <v>49</v>
      </c>
      <c r="D67" t="s">
        <v>50</v>
      </c>
      <c r="E67">
        <v>1800</v>
      </c>
      <c r="F67" t="s">
        <v>17</v>
      </c>
      <c r="G67" t="s">
        <v>51</v>
      </c>
      <c r="H67" t="s">
        <v>19</v>
      </c>
      <c r="I67" t="s">
        <v>52</v>
      </c>
      <c r="J67">
        <v>60</v>
      </c>
      <c r="K67" t="str">
        <f>_xlfn.XLOOKUP(C67,Department_Master!A:A,Department_Master!B:B)</f>
        <v>Neurology</v>
      </c>
      <c r="L67" t="str">
        <f>_xlfn.XLOOKUP(D67,Doctor_Master!A:A,Doctor_Master!B:B)</f>
        <v>Dr Rao</v>
      </c>
      <c r="M67">
        <f>_xlfn.XLOOKUP(D67,Doctor_Master!A:A,Doctor_Master!D:D)</f>
        <v>1800</v>
      </c>
    </row>
    <row r="68" spans="1:13">
      <c r="A68" t="s">
        <v>132</v>
      </c>
      <c r="B68" t="s">
        <v>133</v>
      </c>
      <c r="C68" t="s">
        <v>55</v>
      </c>
      <c r="D68" t="s">
        <v>56</v>
      </c>
      <c r="E68">
        <v>800</v>
      </c>
      <c r="F68" t="s">
        <v>16</v>
      </c>
      <c r="G68" t="s">
        <v>46</v>
      </c>
      <c r="H68" t="s">
        <v>20</v>
      </c>
      <c r="I68" t="s">
        <v>57</v>
      </c>
      <c r="J68">
        <v>30</v>
      </c>
      <c r="K68" t="str">
        <f>_xlfn.XLOOKUP(C68,Department_Master!A:A,Department_Master!B:B)</f>
        <v>General</v>
      </c>
      <c r="L68" t="str">
        <f>_xlfn.XLOOKUP(D68,Doctor_Master!A:A,Doctor_Master!B:B)</f>
        <v>Dr Khan</v>
      </c>
      <c r="M68">
        <f>_xlfn.XLOOKUP(D68,Doctor_Master!A:A,Doctor_Master!D:D)</f>
        <v>800</v>
      </c>
    </row>
    <row r="69" spans="1:13">
      <c r="A69" t="s">
        <v>134</v>
      </c>
      <c r="B69" t="s">
        <v>133</v>
      </c>
      <c r="C69" t="s">
        <v>61</v>
      </c>
      <c r="D69" t="s">
        <v>62</v>
      </c>
      <c r="E69">
        <v>2000</v>
      </c>
      <c r="F69" t="s">
        <v>17</v>
      </c>
      <c r="G69" t="s">
        <v>51</v>
      </c>
      <c r="H69" t="s">
        <v>19</v>
      </c>
      <c r="I69" t="s">
        <v>63</v>
      </c>
      <c r="J69">
        <v>52</v>
      </c>
      <c r="K69" t="str">
        <f>_xlfn.XLOOKUP(C69,Department_Master!A:A,Department_Master!B:B)</f>
        <v>Surgery</v>
      </c>
      <c r="L69" t="str">
        <f>_xlfn.XLOOKUP(D69,Doctor_Master!A:A,Doctor_Master!B:B)</f>
        <v>Dr Iyer</v>
      </c>
      <c r="M69">
        <f>_xlfn.XLOOKUP(D69,Doctor_Master!A:A,Doctor_Master!D:D)</f>
        <v>2000</v>
      </c>
    </row>
    <row r="70" spans="1:13">
      <c r="A70" t="s">
        <v>135</v>
      </c>
      <c r="B70" t="s">
        <v>133</v>
      </c>
      <c r="C70" t="s">
        <v>39</v>
      </c>
      <c r="D70" t="s">
        <v>40</v>
      </c>
      <c r="E70">
        <v>1500</v>
      </c>
      <c r="F70" t="s">
        <v>17</v>
      </c>
      <c r="G70" t="s">
        <v>41</v>
      </c>
      <c r="H70" t="s">
        <v>20</v>
      </c>
      <c r="I70" t="s">
        <v>42</v>
      </c>
      <c r="J70">
        <v>44</v>
      </c>
      <c r="K70" t="str">
        <f>_xlfn.XLOOKUP(C70,Department_Master!A:A,Department_Master!B:B)</f>
        <v>Cardiology</v>
      </c>
      <c r="L70" t="str">
        <f>_xlfn.XLOOKUP(D70,Doctor_Master!A:A,Doctor_Master!B:B)</f>
        <v>Dr Sharma</v>
      </c>
      <c r="M70">
        <f>_xlfn.XLOOKUP(D70,Doctor_Master!A:A,Doctor_Master!D:D)</f>
        <v>1500</v>
      </c>
    </row>
    <row r="71" spans="1:13">
      <c r="A71" t="s">
        <v>136</v>
      </c>
      <c r="B71" t="s">
        <v>137</v>
      </c>
      <c r="C71" t="s">
        <v>44</v>
      </c>
      <c r="D71" t="s">
        <v>45</v>
      </c>
      <c r="E71">
        <v>1200</v>
      </c>
      <c r="F71" t="s">
        <v>16</v>
      </c>
      <c r="G71" t="s">
        <v>46</v>
      </c>
      <c r="H71" t="s">
        <v>20</v>
      </c>
      <c r="I71" t="s">
        <v>47</v>
      </c>
      <c r="J71">
        <v>33</v>
      </c>
      <c r="K71" t="str">
        <f>_xlfn.XLOOKUP(C71,Department_Master!A:A,Department_Master!B:B)</f>
        <v>Orthopedics</v>
      </c>
      <c r="L71" t="str">
        <f>_xlfn.XLOOKUP(D71,Doctor_Master!A:A,Doctor_Master!B:B)</f>
        <v>Dr Mehta</v>
      </c>
      <c r="M71">
        <f>_xlfn.XLOOKUP(D71,Doctor_Master!A:A,Doctor_Master!D:D)</f>
        <v>1200</v>
      </c>
    </row>
    <row r="72" spans="1:13">
      <c r="A72" t="s">
        <v>138</v>
      </c>
      <c r="B72" t="s">
        <v>137</v>
      </c>
      <c r="C72" t="s">
        <v>49</v>
      </c>
      <c r="D72" t="s">
        <v>50</v>
      </c>
      <c r="E72">
        <v>1800</v>
      </c>
      <c r="F72" t="s">
        <v>17</v>
      </c>
      <c r="G72" t="s">
        <v>51</v>
      </c>
      <c r="H72" t="s">
        <v>19</v>
      </c>
      <c r="I72" t="s">
        <v>52</v>
      </c>
      <c r="J72">
        <v>59</v>
      </c>
      <c r="K72" t="str">
        <f>_xlfn.XLOOKUP(C72,Department_Master!A:A,Department_Master!B:B)</f>
        <v>Neurology</v>
      </c>
      <c r="L72" t="str">
        <f>_xlfn.XLOOKUP(D72,Doctor_Master!A:A,Doctor_Master!B:B)</f>
        <v>Dr Rao</v>
      </c>
      <c r="M72">
        <f>_xlfn.XLOOKUP(D72,Doctor_Master!A:A,Doctor_Master!D:D)</f>
        <v>1800</v>
      </c>
    </row>
    <row r="73" spans="1:13">
      <c r="A73" t="s">
        <v>139</v>
      </c>
      <c r="B73" t="s">
        <v>137</v>
      </c>
      <c r="C73" t="s">
        <v>55</v>
      </c>
      <c r="D73" t="s">
        <v>56</v>
      </c>
      <c r="E73">
        <v>800</v>
      </c>
      <c r="F73" t="s">
        <v>16</v>
      </c>
      <c r="G73" t="s">
        <v>41</v>
      </c>
      <c r="H73" t="s">
        <v>20</v>
      </c>
      <c r="I73" t="s">
        <v>57</v>
      </c>
      <c r="J73">
        <v>28</v>
      </c>
      <c r="K73" t="str">
        <f>_xlfn.XLOOKUP(C73,Department_Master!A:A,Department_Master!B:B)</f>
        <v>General</v>
      </c>
      <c r="L73" t="str">
        <f>_xlfn.XLOOKUP(D73,Doctor_Master!A:A,Doctor_Master!B:B)</f>
        <v>Dr Khan</v>
      </c>
      <c r="M73">
        <f>_xlfn.XLOOKUP(D73,Doctor_Master!A:A,Doctor_Master!D:D)</f>
        <v>800</v>
      </c>
    </row>
    <row r="74" spans="1:13">
      <c r="A74" t="s">
        <v>140</v>
      </c>
      <c r="B74" t="s">
        <v>141</v>
      </c>
      <c r="C74" t="s">
        <v>61</v>
      </c>
      <c r="D74" t="s">
        <v>62</v>
      </c>
      <c r="E74">
        <v>2000</v>
      </c>
      <c r="F74" t="s">
        <v>17</v>
      </c>
      <c r="G74" t="s">
        <v>51</v>
      </c>
      <c r="H74" t="s">
        <v>19</v>
      </c>
      <c r="I74" t="s">
        <v>63</v>
      </c>
      <c r="J74">
        <v>55</v>
      </c>
      <c r="K74" t="str">
        <f>_xlfn.XLOOKUP(C74,Department_Master!A:A,Department_Master!B:B)</f>
        <v>Surgery</v>
      </c>
      <c r="L74" t="str">
        <f>_xlfn.XLOOKUP(D74,Doctor_Master!A:A,Doctor_Master!B:B)</f>
        <v>Dr Iyer</v>
      </c>
      <c r="M74">
        <f>_xlfn.XLOOKUP(D74,Doctor_Master!A:A,Doctor_Master!D:D)</f>
        <v>2000</v>
      </c>
    </row>
    <row r="75" spans="1:13">
      <c r="A75" t="s">
        <v>142</v>
      </c>
      <c r="B75" t="s">
        <v>141</v>
      </c>
      <c r="C75" t="s">
        <v>39</v>
      </c>
      <c r="D75" t="s">
        <v>40</v>
      </c>
      <c r="E75">
        <v>1500</v>
      </c>
      <c r="F75" t="s">
        <v>16</v>
      </c>
      <c r="G75" t="s">
        <v>46</v>
      </c>
      <c r="H75" t="s">
        <v>20</v>
      </c>
      <c r="I75" t="s">
        <v>42</v>
      </c>
      <c r="J75">
        <v>47</v>
      </c>
      <c r="K75" t="str">
        <f>_xlfn.XLOOKUP(C75,Department_Master!A:A,Department_Master!B:B)</f>
        <v>Cardiology</v>
      </c>
      <c r="L75" t="str">
        <f>_xlfn.XLOOKUP(D75,Doctor_Master!A:A,Doctor_Master!B:B)</f>
        <v>Dr Sharma</v>
      </c>
      <c r="M75">
        <f>_xlfn.XLOOKUP(D75,Doctor_Master!A:A,Doctor_Master!D:D)</f>
        <v>1500</v>
      </c>
    </row>
    <row r="76" spans="1:13">
      <c r="A76" t="s">
        <v>143</v>
      </c>
      <c r="B76" t="s">
        <v>141</v>
      </c>
      <c r="C76" t="s">
        <v>44</v>
      </c>
      <c r="D76" t="s">
        <v>45</v>
      </c>
      <c r="E76">
        <v>1200</v>
      </c>
      <c r="F76" t="s">
        <v>17</v>
      </c>
      <c r="G76" t="s">
        <v>41</v>
      </c>
      <c r="H76" t="s">
        <v>20</v>
      </c>
      <c r="I76" t="s">
        <v>47</v>
      </c>
      <c r="J76">
        <v>36</v>
      </c>
      <c r="K76" t="str">
        <f>_xlfn.XLOOKUP(C76,Department_Master!A:A,Department_Master!B:B)</f>
        <v>Orthopedics</v>
      </c>
      <c r="L76" t="str">
        <f>_xlfn.XLOOKUP(D76,Doctor_Master!A:A,Doctor_Master!B:B)</f>
        <v>Dr Mehta</v>
      </c>
      <c r="M76">
        <f>_xlfn.XLOOKUP(D76,Doctor_Master!A:A,Doctor_Master!D:D)</f>
        <v>1200</v>
      </c>
    </row>
    <row r="77" spans="1:13">
      <c r="A77" t="s">
        <v>144</v>
      </c>
      <c r="B77" t="s">
        <v>145</v>
      </c>
      <c r="C77" t="s">
        <v>49</v>
      </c>
      <c r="D77" t="s">
        <v>50</v>
      </c>
      <c r="E77">
        <v>1800</v>
      </c>
      <c r="F77" t="s">
        <v>17</v>
      </c>
      <c r="G77" t="s">
        <v>51</v>
      </c>
      <c r="H77" t="s">
        <v>19</v>
      </c>
      <c r="I77" t="s">
        <v>52</v>
      </c>
      <c r="J77">
        <v>61</v>
      </c>
      <c r="K77" t="str">
        <f>_xlfn.XLOOKUP(C77,Department_Master!A:A,Department_Master!B:B)</f>
        <v>Neurology</v>
      </c>
      <c r="L77" t="str">
        <f>_xlfn.XLOOKUP(D77,Doctor_Master!A:A,Doctor_Master!B:B)</f>
        <v>Dr Rao</v>
      </c>
      <c r="M77">
        <f>_xlfn.XLOOKUP(D77,Doctor_Master!A:A,Doctor_Master!D:D)</f>
        <v>1800</v>
      </c>
    </row>
    <row r="78" spans="1:13">
      <c r="A78" t="s">
        <v>146</v>
      </c>
      <c r="B78" t="s">
        <v>145</v>
      </c>
      <c r="C78" t="s">
        <v>55</v>
      </c>
      <c r="D78" t="s">
        <v>56</v>
      </c>
      <c r="E78">
        <v>800</v>
      </c>
      <c r="F78" t="s">
        <v>16</v>
      </c>
      <c r="G78" t="s">
        <v>46</v>
      </c>
      <c r="H78" t="s">
        <v>20</v>
      </c>
      <c r="I78" t="s">
        <v>57</v>
      </c>
      <c r="J78">
        <v>29</v>
      </c>
      <c r="K78" t="str">
        <f>_xlfn.XLOOKUP(C78,Department_Master!A:A,Department_Master!B:B)</f>
        <v>General</v>
      </c>
      <c r="L78" t="str">
        <f>_xlfn.XLOOKUP(D78,Doctor_Master!A:A,Doctor_Master!B:B)</f>
        <v>Dr Khan</v>
      </c>
      <c r="M78">
        <f>_xlfn.XLOOKUP(D78,Doctor_Master!A:A,Doctor_Master!D:D)</f>
        <v>800</v>
      </c>
    </row>
    <row r="79" spans="1:13">
      <c r="A79" t="s">
        <v>147</v>
      </c>
      <c r="B79" t="s">
        <v>145</v>
      </c>
      <c r="C79" t="s">
        <v>61</v>
      </c>
      <c r="D79" t="s">
        <v>62</v>
      </c>
      <c r="E79">
        <v>2000</v>
      </c>
      <c r="F79" t="s">
        <v>17</v>
      </c>
      <c r="G79" t="s">
        <v>51</v>
      </c>
      <c r="H79" t="s">
        <v>19</v>
      </c>
      <c r="I79" t="s">
        <v>63</v>
      </c>
      <c r="J79">
        <v>53</v>
      </c>
      <c r="K79" t="str">
        <f>_xlfn.XLOOKUP(C79,Department_Master!A:A,Department_Master!B:B)</f>
        <v>Surgery</v>
      </c>
      <c r="L79" t="str">
        <f>_xlfn.XLOOKUP(D79,Doctor_Master!A:A,Doctor_Master!B:B)</f>
        <v>Dr Iyer</v>
      </c>
      <c r="M79">
        <f>_xlfn.XLOOKUP(D79,Doctor_Master!A:A,Doctor_Master!D:D)</f>
        <v>2000</v>
      </c>
    </row>
    <row r="80" spans="1:13">
      <c r="A80" t="s">
        <v>148</v>
      </c>
      <c r="B80" t="s">
        <v>149</v>
      </c>
      <c r="C80" t="s">
        <v>39</v>
      </c>
      <c r="D80" t="s">
        <v>40</v>
      </c>
      <c r="E80">
        <v>1500</v>
      </c>
      <c r="F80" t="s">
        <v>17</v>
      </c>
      <c r="G80" t="s">
        <v>41</v>
      </c>
      <c r="H80" t="s">
        <v>20</v>
      </c>
      <c r="I80" t="s">
        <v>42</v>
      </c>
      <c r="J80">
        <v>45</v>
      </c>
      <c r="K80" t="str">
        <f>_xlfn.XLOOKUP(C80,Department_Master!A:A,Department_Master!B:B)</f>
        <v>Cardiology</v>
      </c>
      <c r="L80" t="str">
        <f>_xlfn.XLOOKUP(D80,Doctor_Master!A:A,Doctor_Master!B:B)</f>
        <v>Dr Sharma</v>
      </c>
      <c r="M80">
        <f>_xlfn.XLOOKUP(D80,Doctor_Master!A:A,Doctor_Master!D:D)</f>
        <v>1500</v>
      </c>
    </row>
    <row r="81" spans="1:13">
      <c r="A81" t="s">
        <v>150</v>
      </c>
      <c r="B81" t="s">
        <v>149</v>
      </c>
      <c r="C81" t="s">
        <v>44</v>
      </c>
      <c r="D81" t="s">
        <v>45</v>
      </c>
      <c r="E81">
        <v>1200</v>
      </c>
      <c r="F81" t="s">
        <v>16</v>
      </c>
      <c r="G81" t="s">
        <v>46</v>
      </c>
      <c r="H81" t="s">
        <v>20</v>
      </c>
      <c r="I81" t="s">
        <v>47</v>
      </c>
      <c r="J81">
        <v>34</v>
      </c>
      <c r="K81" t="str">
        <f>_xlfn.XLOOKUP(C81,Department_Master!A:A,Department_Master!B:B)</f>
        <v>Orthopedics</v>
      </c>
      <c r="L81" t="str">
        <f>_xlfn.XLOOKUP(D81,Doctor_Master!A:A,Doctor_Master!B:B)</f>
        <v>Dr Mehta</v>
      </c>
      <c r="M81">
        <f>_xlfn.XLOOKUP(D81,Doctor_Master!A:A,Doctor_Master!D:D)</f>
        <v>1200</v>
      </c>
    </row>
    <row r="82" spans="1:13">
      <c r="A82" t="s">
        <v>151</v>
      </c>
      <c r="B82" t="s">
        <v>149</v>
      </c>
      <c r="C82" t="s">
        <v>49</v>
      </c>
      <c r="D82" t="s">
        <v>50</v>
      </c>
      <c r="E82">
        <v>1800</v>
      </c>
      <c r="F82" t="s">
        <v>17</v>
      </c>
      <c r="G82" t="s">
        <v>51</v>
      </c>
      <c r="H82" t="s">
        <v>19</v>
      </c>
      <c r="I82" t="s">
        <v>52</v>
      </c>
      <c r="J82">
        <v>58</v>
      </c>
      <c r="K82" t="str">
        <f>_xlfn.XLOOKUP(C82,Department_Master!A:A,Department_Master!B:B)</f>
        <v>Neurology</v>
      </c>
      <c r="L82" t="str">
        <f>_xlfn.XLOOKUP(D82,Doctor_Master!A:A,Doctor_Master!B:B)</f>
        <v>Dr Rao</v>
      </c>
      <c r="M82">
        <f>_xlfn.XLOOKUP(D82,Doctor_Master!A:A,Doctor_Master!D:D)</f>
        <v>1800</v>
      </c>
    </row>
    <row r="83" spans="1:13">
      <c r="A83" t="s">
        <v>152</v>
      </c>
      <c r="B83" t="s">
        <v>153</v>
      </c>
      <c r="C83" t="s">
        <v>55</v>
      </c>
      <c r="D83" t="s">
        <v>56</v>
      </c>
      <c r="E83">
        <v>800</v>
      </c>
      <c r="F83" t="s">
        <v>16</v>
      </c>
      <c r="G83" t="s">
        <v>41</v>
      </c>
      <c r="H83" t="s">
        <v>20</v>
      </c>
      <c r="I83" t="s">
        <v>57</v>
      </c>
      <c r="J83">
        <v>27</v>
      </c>
      <c r="K83" t="str">
        <f>_xlfn.XLOOKUP(C83,Department_Master!A:A,Department_Master!B:B)</f>
        <v>General</v>
      </c>
      <c r="L83" t="str">
        <f>_xlfn.XLOOKUP(D83,Doctor_Master!A:A,Doctor_Master!B:B)</f>
        <v>Dr Khan</v>
      </c>
      <c r="M83">
        <f>_xlfn.XLOOKUP(D83,Doctor_Master!A:A,Doctor_Master!D:D)</f>
        <v>800</v>
      </c>
    </row>
    <row r="84" spans="1:13">
      <c r="A84" t="s">
        <v>154</v>
      </c>
      <c r="B84" t="s">
        <v>153</v>
      </c>
      <c r="C84" t="s">
        <v>61</v>
      </c>
      <c r="D84" t="s">
        <v>62</v>
      </c>
      <c r="E84">
        <v>2000</v>
      </c>
      <c r="F84" t="s">
        <v>17</v>
      </c>
      <c r="G84" t="s">
        <v>51</v>
      </c>
      <c r="H84" t="s">
        <v>19</v>
      </c>
      <c r="I84" t="s">
        <v>63</v>
      </c>
      <c r="J84">
        <v>54</v>
      </c>
      <c r="K84" t="str">
        <f>_xlfn.XLOOKUP(C84,Department_Master!A:A,Department_Master!B:B)</f>
        <v>Surgery</v>
      </c>
      <c r="L84" t="str">
        <f>_xlfn.XLOOKUP(D84,Doctor_Master!A:A,Doctor_Master!B:B)</f>
        <v>Dr Iyer</v>
      </c>
      <c r="M84">
        <f>_xlfn.XLOOKUP(D84,Doctor_Master!A:A,Doctor_Master!D:D)</f>
        <v>2000</v>
      </c>
    </row>
    <row r="85" spans="1:13">
      <c r="A85" t="s">
        <v>155</v>
      </c>
      <c r="B85" t="s">
        <v>153</v>
      </c>
      <c r="C85" t="s">
        <v>39</v>
      </c>
      <c r="D85" t="s">
        <v>40</v>
      </c>
      <c r="E85">
        <v>1500</v>
      </c>
      <c r="F85" t="s">
        <v>16</v>
      </c>
      <c r="G85" t="s">
        <v>46</v>
      </c>
      <c r="H85" t="s">
        <v>20</v>
      </c>
      <c r="I85" t="s">
        <v>42</v>
      </c>
      <c r="J85">
        <v>46</v>
      </c>
      <c r="K85" t="str">
        <f>_xlfn.XLOOKUP(C85,Department_Master!A:A,Department_Master!B:B)</f>
        <v>Cardiology</v>
      </c>
      <c r="L85" t="str">
        <f>_xlfn.XLOOKUP(D85,Doctor_Master!A:A,Doctor_Master!B:B)</f>
        <v>Dr Sharma</v>
      </c>
      <c r="M85">
        <f>_xlfn.XLOOKUP(D85,Doctor_Master!A:A,Doctor_Master!D:D)</f>
        <v>1500</v>
      </c>
    </row>
    <row r="86" spans="1:13">
      <c r="A86" t="s">
        <v>156</v>
      </c>
      <c r="B86" t="s">
        <v>157</v>
      </c>
      <c r="C86" t="s">
        <v>44</v>
      </c>
      <c r="D86" t="s">
        <v>45</v>
      </c>
      <c r="E86">
        <v>1200</v>
      </c>
      <c r="F86" t="s">
        <v>17</v>
      </c>
      <c r="G86" t="s">
        <v>41</v>
      </c>
      <c r="H86" t="s">
        <v>20</v>
      </c>
      <c r="I86" t="s">
        <v>47</v>
      </c>
      <c r="J86">
        <v>35</v>
      </c>
      <c r="K86" t="str">
        <f>_xlfn.XLOOKUP(C86,Department_Master!A:A,Department_Master!B:B)</f>
        <v>Orthopedics</v>
      </c>
      <c r="L86" t="str">
        <f>_xlfn.XLOOKUP(D86,Doctor_Master!A:A,Doctor_Master!B:B)</f>
        <v>Dr Mehta</v>
      </c>
      <c r="M86">
        <f>_xlfn.XLOOKUP(D86,Doctor_Master!A:A,Doctor_Master!D:D)</f>
        <v>1200</v>
      </c>
    </row>
    <row r="87" spans="1:13">
      <c r="A87" t="s">
        <v>158</v>
      </c>
      <c r="B87" t="s">
        <v>157</v>
      </c>
      <c r="C87" t="s">
        <v>49</v>
      </c>
      <c r="D87" t="s">
        <v>50</v>
      </c>
      <c r="E87">
        <v>1800</v>
      </c>
      <c r="F87" t="s">
        <v>17</v>
      </c>
      <c r="G87" t="s">
        <v>51</v>
      </c>
      <c r="H87" t="s">
        <v>19</v>
      </c>
      <c r="I87" t="s">
        <v>52</v>
      </c>
      <c r="J87">
        <v>60</v>
      </c>
      <c r="K87" t="str">
        <f>_xlfn.XLOOKUP(C87,Department_Master!A:A,Department_Master!B:B)</f>
        <v>Neurology</v>
      </c>
      <c r="L87" t="str">
        <f>_xlfn.XLOOKUP(D87,Doctor_Master!A:A,Doctor_Master!B:B)</f>
        <v>Dr Rao</v>
      </c>
      <c r="M87">
        <f>_xlfn.XLOOKUP(D87,Doctor_Master!A:A,Doctor_Master!D:D)</f>
        <v>1800</v>
      </c>
    </row>
    <row r="88" spans="1:13">
      <c r="A88" t="s">
        <v>159</v>
      </c>
      <c r="B88" t="s">
        <v>157</v>
      </c>
      <c r="C88" t="s">
        <v>55</v>
      </c>
      <c r="D88" t="s">
        <v>56</v>
      </c>
      <c r="E88">
        <v>800</v>
      </c>
      <c r="F88" t="s">
        <v>16</v>
      </c>
      <c r="G88" t="s">
        <v>46</v>
      </c>
      <c r="H88" t="s">
        <v>20</v>
      </c>
      <c r="I88" t="s">
        <v>57</v>
      </c>
      <c r="J88">
        <v>28</v>
      </c>
      <c r="K88" t="str">
        <f>_xlfn.XLOOKUP(C88,Department_Master!A:A,Department_Master!B:B)</f>
        <v>General</v>
      </c>
      <c r="L88" t="str">
        <f>_xlfn.XLOOKUP(D88,Doctor_Master!A:A,Doctor_Master!B:B)</f>
        <v>Dr Khan</v>
      </c>
      <c r="M88">
        <f>_xlfn.XLOOKUP(D88,Doctor_Master!A:A,Doctor_Master!D:D)</f>
        <v>800</v>
      </c>
    </row>
    <row r="89" spans="1:13">
      <c r="A89" t="s">
        <v>160</v>
      </c>
      <c r="B89" t="s">
        <v>161</v>
      </c>
      <c r="C89" t="s">
        <v>61</v>
      </c>
      <c r="D89" t="s">
        <v>62</v>
      </c>
      <c r="E89">
        <v>2000</v>
      </c>
      <c r="F89" t="s">
        <v>17</v>
      </c>
      <c r="G89" t="s">
        <v>51</v>
      </c>
      <c r="H89" t="s">
        <v>19</v>
      </c>
      <c r="I89" t="s">
        <v>63</v>
      </c>
      <c r="J89">
        <v>52</v>
      </c>
      <c r="K89" t="str">
        <f>_xlfn.XLOOKUP(C89,Department_Master!A:A,Department_Master!B:B)</f>
        <v>Surgery</v>
      </c>
      <c r="L89" t="str">
        <f>_xlfn.XLOOKUP(D89,Doctor_Master!A:A,Doctor_Master!B:B)</f>
        <v>Dr Iyer</v>
      </c>
      <c r="M89">
        <f>_xlfn.XLOOKUP(D89,Doctor_Master!A:A,Doctor_Master!D:D)</f>
        <v>2000</v>
      </c>
    </row>
    <row r="90" spans="1:13">
      <c r="A90" t="s">
        <v>162</v>
      </c>
      <c r="B90" t="s">
        <v>161</v>
      </c>
      <c r="C90" t="s">
        <v>39</v>
      </c>
      <c r="D90" t="s">
        <v>40</v>
      </c>
      <c r="E90">
        <v>1500</v>
      </c>
      <c r="F90" t="s">
        <v>17</v>
      </c>
      <c r="G90" t="s">
        <v>41</v>
      </c>
      <c r="H90" t="s">
        <v>20</v>
      </c>
      <c r="I90" t="s">
        <v>42</v>
      </c>
      <c r="J90">
        <v>44</v>
      </c>
      <c r="K90" t="str">
        <f>_xlfn.XLOOKUP(C90,Department_Master!A:A,Department_Master!B:B)</f>
        <v>Cardiology</v>
      </c>
      <c r="L90" t="str">
        <f>_xlfn.XLOOKUP(D90,Doctor_Master!A:A,Doctor_Master!B:B)</f>
        <v>Dr Sharma</v>
      </c>
      <c r="M90">
        <f>_xlfn.XLOOKUP(D90,Doctor_Master!A:A,Doctor_Master!D:D)</f>
        <v>1500</v>
      </c>
    </row>
    <row r="91" spans="1:13">
      <c r="A91" t="s">
        <v>163</v>
      </c>
      <c r="B91" t="s">
        <v>161</v>
      </c>
      <c r="C91" t="s">
        <v>44</v>
      </c>
      <c r="D91" t="s">
        <v>45</v>
      </c>
      <c r="E91">
        <v>1200</v>
      </c>
      <c r="F91" t="s">
        <v>16</v>
      </c>
      <c r="G91" t="s">
        <v>46</v>
      </c>
      <c r="H91" t="s">
        <v>20</v>
      </c>
      <c r="I91" t="s">
        <v>47</v>
      </c>
      <c r="J91">
        <v>33</v>
      </c>
      <c r="K91" t="str">
        <f>_xlfn.XLOOKUP(C91,Department_Master!A:A,Department_Master!B:B)</f>
        <v>Orthopedics</v>
      </c>
      <c r="L91" t="str">
        <f>_xlfn.XLOOKUP(D91,Doctor_Master!A:A,Doctor_Master!B:B)</f>
        <v>Dr Mehta</v>
      </c>
      <c r="M91">
        <f>_xlfn.XLOOKUP(D91,Doctor_Master!A:A,Doctor_Master!D:D)</f>
        <v>1200</v>
      </c>
    </row>
    <row r="92" spans="1:13">
      <c r="A92" t="s">
        <v>164</v>
      </c>
      <c r="B92" t="s">
        <v>165</v>
      </c>
      <c r="C92" t="s">
        <v>49</v>
      </c>
      <c r="D92" t="s">
        <v>50</v>
      </c>
      <c r="E92">
        <v>1800</v>
      </c>
      <c r="F92" t="s">
        <v>17</v>
      </c>
      <c r="G92" t="s">
        <v>51</v>
      </c>
      <c r="H92" t="s">
        <v>19</v>
      </c>
      <c r="I92" t="s">
        <v>52</v>
      </c>
      <c r="J92">
        <v>59</v>
      </c>
      <c r="K92" t="str">
        <f>_xlfn.XLOOKUP(C92,Department_Master!A:A,Department_Master!B:B)</f>
        <v>Neurology</v>
      </c>
      <c r="L92" t="str">
        <f>_xlfn.XLOOKUP(D92,Doctor_Master!A:A,Doctor_Master!B:B)</f>
        <v>Dr Rao</v>
      </c>
      <c r="M92">
        <f>_xlfn.XLOOKUP(D92,Doctor_Master!A:A,Doctor_Master!D:D)</f>
        <v>1800</v>
      </c>
    </row>
    <row r="93" spans="1:13">
      <c r="A93" t="s">
        <v>166</v>
      </c>
      <c r="B93" t="s">
        <v>165</v>
      </c>
      <c r="C93" t="s">
        <v>55</v>
      </c>
      <c r="D93" t="s">
        <v>56</v>
      </c>
      <c r="E93">
        <v>800</v>
      </c>
      <c r="F93" t="s">
        <v>16</v>
      </c>
      <c r="G93" t="s">
        <v>41</v>
      </c>
      <c r="H93" t="s">
        <v>20</v>
      </c>
      <c r="I93" t="s">
        <v>57</v>
      </c>
      <c r="J93">
        <v>27</v>
      </c>
      <c r="K93" t="str">
        <f>_xlfn.XLOOKUP(C93,Department_Master!A:A,Department_Master!B:B)</f>
        <v>General</v>
      </c>
      <c r="L93" t="str">
        <f>_xlfn.XLOOKUP(D93,Doctor_Master!A:A,Doctor_Master!B:B)</f>
        <v>Dr Khan</v>
      </c>
      <c r="M93">
        <f>_xlfn.XLOOKUP(D93,Doctor_Master!A:A,Doctor_Master!D:D)</f>
        <v>800</v>
      </c>
    </row>
    <row r="94" spans="1:13">
      <c r="A94" t="s">
        <v>167</v>
      </c>
      <c r="B94" t="s">
        <v>165</v>
      </c>
      <c r="C94" t="s">
        <v>61</v>
      </c>
      <c r="D94" t="s">
        <v>62</v>
      </c>
      <c r="E94">
        <v>2000</v>
      </c>
      <c r="F94" t="s">
        <v>17</v>
      </c>
      <c r="G94" t="s">
        <v>51</v>
      </c>
      <c r="H94" t="s">
        <v>19</v>
      </c>
      <c r="I94" t="s">
        <v>63</v>
      </c>
      <c r="J94">
        <v>53</v>
      </c>
      <c r="K94" t="str">
        <f>_xlfn.XLOOKUP(C94,Department_Master!A:A,Department_Master!B:B)</f>
        <v>Surgery</v>
      </c>
      <c r="L94" t="str">
        <f>_xlfn.XLOOKUP(D94,Doctor_Master!A:A,Doctor_Master!B:B)</f>
        <v>Dr Iyer</v>
      </c>
      <c r="M94">
        <f>_xlfn.XLOOKUP(D94,Doctor_Master!A:A,Doctor_Master!D:D)</f>
        <v>2000</v>
      </c>
    </row>
    <row r="95" spans="1:13">
      <c r="A95" t="s">
        <v>168</v>
      </c>
      <c r="B95" s="1">
        <v>45659</v>
      </c>
      <c r="C95" t="s">
        <v>39</v>
      </c>
      <c r="D95" t="s">
        <v>40</v>
      </c>
      <c r="E95">
        <v>1500</v>
      </c>
      <c r="F95" t="s">
        <v>16</v>
      </c>
      <c r="G95" t="s">
        <v>46</v>
      </c>
      <c r="H95" t="s">
        <v>20</v>
      </c>
      <c r="I95" t="s">
        <v>42</v>
      </c>
      <c r="J95">
        <v>46</v>
      </c>
      <c r="K95" t="str">
        <f>_xlfn.XLOOKUP(C95,Department_Master!A:A,Department_Master!B:B)</f>
        <v>Cardiology</v>
      </c>
      <c r="L95" t="str">
        <f>_xlfn.XLOOKUP(D95,Doctor_Master!A:A,Doctor_Master!B:B)</f>
        <v>Dr Sharma</v>
      </c>
      <c r="M95">
        <f>_xlfn.XLOOKUP(D95,Doctor_Master!A:A,Doctor_Master!D:D)</f>
        <v>1500</v>
      </c>
    </row>
    <row r="96" spans="1:13">
      <c r="A96" t="s">
        <v>169</v>
      </c>
      <c r="B96" s="1">
        <v>45659</v>
      </c>
      <c r="C96" t="s">
        <v>44</v>
      </c>
      <c r="D96" t="s">
        <v>45</v>
      </c>
      <c r="E96">
        <v>1200</v>
      </c>
      <c r="F96" t="s">
        <v>17</v>
      </c>
      <c r="G96" t="s">
        <v>41</v>
      </c>
      <c r="H96" t="s">
        <v>20</v>
      </c>
      <c r="I96" t="s">
        <v>47</v>
      </c>
      <c r="J96">
        <v>36</v>
      </c>
      <c r="K96" t="str">
        <f>_xlfn.XLOOKUP(C96,Department_Master!A:A,Department_Master!B:B)</f>
        <v>Orthopedics</v>
      </c>
      <c r="L96" t="str">
        <f>_xlfn.XLOOKUP(D96,Doctor_Master!A:A,Doctor_Master!B:B)</f>
        <v>Dr Mehta</v>
      </c>
      <c r="M96">
        <f>_xlfn.XLOOKUP(D96,Doctor_Master!A:A,Doctor_Master!D:D)</f>
        <v>1200</v>
      </c>
    </row>
    <row r="97" spans="1:13">
      <c r="A97" t="s">
        <v>170</v>
      </c>
      <c r="B97" s="1">
        <v>45659</v>
      </c>
      <c r="C97" t="s">
        <v>49</v>
      </c>
      <c r="D97" t="s">
        <v>50</v>
      </c>
      <c r="E97">
        <v>1800</v>
      </c>
      <c r="F97" t="s">
        <v>17</v>
      </c>
      <c r="G97" t="s">
        <v>51</v>
      </c>
      <c r="H97" t="s">
        <v>19</v>
      </c>
      <c r="I97" t="s">
        <v>52</v>
      </c>
      <c r="J97">
        <v>61</v>
      </c>
      <c r="K97" t="str">
        <f>_xlfn.XLOOKUP(C97,Department_Master!A:A,Department_Master!B:B)</f>
        <v>Neurology</v>
      </c>
      <c r="L97" t="str">
        <f>_xlfn.XLOOKUP(D97,Doctor_Master!A:A,Doctor_Master!B:B)</f>
        <v>Dr Rao</v>
      </c>
      <c r="M97">
        <f>_xlfn.XLOOKUP(D97,Doctor_Master!A:A,Doctor_Master!D:D)</f>
        <v>1800</v>
      </c>
    </row>
    <row r="98" spans="1:13">
      <c r="A98" t="s">
        <v>171</v>
      </c>
      <c r="B98" s="1">
        <v>45690</v>
      </c>
      <c r="C98" t="s">
        <v>55</v>
      </c>
      <c r="D98" t="s">
        <v>56</v>
      </c>
      <c r="E98">
        <v>800</v>
      </c>
      <c r="F98" t="s">
        <v>16</v>
      </c>
      <c r="G98" t="s">
        <v>46</v>
      </c>
      <c r="H98" t="s">
        <v>20</v>
      </c>
      <c r="I98" t="s">
        <v>57</v>
      </c>
      <c r="J98">
        <v>29</v>
      </c>
      <c r="K98" t="str">
        <f>_xlfn.XLOOKUP(C98,Department_Master!A:A,Department_Master!B:B)</f>
        <v>General</v>
      </c>
      <c r="L98" t="str">
        <f>_xlfn.XLOOKUP(D98,Doctor_Master!A:A,Doctor_Master!B:B)</f>
        <v>Dr Khan</v>
      </c>
      <c r="M98">
        <f>_xlfn.XLOOKUP(D98,Doctor_Master!A:A,Doctor_Master!D:D)</f>
        <v>800</v>
      </c>
    </row>
    <row r="99" spans="1:13">
      <c r="A99" t="s">
        <v>172</v>
      </c>
      <c r="B99" s="1">
        <v>45690</v>
      </c>
      <c r="C99" t="s">
        <v>61</v>
      </c>
      <c r="D99" t="s">
        <v>62</v>
      </c>
      <c r="E99">
        <v>2000</v>
      </c>
      <c r="F99" t="s">
        <v>17</v>
      </c>
      <c r="G99" t="s">
        <v>51</v>
      </c>
      <c r="H99" t="s">
        <v>19</v>
      </c>
      <c r="I99" t="s">
        <v>63</v>
      </c>
      <c r="J99">
        <v>54</v>
      </c>
      <c r="K99" t="str">
        <f>_xlfn.XLOOKUP(C99,Department_Master!A:A,Department_Master!B:B)</f>
        <v>Surgery</v>
      </c>
      <c r="L99" t="str">
        <f>_xlfn.XLOOKUP(D99,Doctor_Master!A:A,Doctor_Master!B:B)</f>
        <v>Dr Iyer</v>
      </c>
      <c r="M99">
        <f>_xlfn.XLOOKUP(D99,Doctor_Master!A:A,Doctor_Master!D:D)</f>
        <v>2000</v>
      </c>
    </row>
    <row r="100" spans="1:13">
      <c r="A100" t="s">
        <v>173</v>
      </c>
      <c r="B100" s="1">
        <v>45690</v>
      </c>
      <c r="C100" t="s">
        <v>39</v>
      </c>
      <c r="D100" t="s">
        <v>40</v>
      </c>
      <c r="E100">
        <v>1500</v>
      </c>
      <c r="F100" t="s">
        <v>17</v>
      </c>
      <c r="G100" t="s">
        <v>41</v>
      </c>
      <c r="H100" t="s">
        <v>20</v>
      </c>
      <c r="I100" t="s">
        <v>42</v>
      </c>
      <c r="J100">
        <v>45</v>
      </c>
      <c r="K100" t="str">
        <f>_xlfn.XLOOKUP(C100,Department_Master!A:A,Department_Master!B:B)</f>
        <v>Cardiology</v>
      </c>
      <c r="L100" t="str">
        <f>_xlfn.XLOOKUP(D100,Doctor_Master!A:A,Doctor_Master!B:B)</f>
        <v>Dr Sharma</v>
      </c>
      <c r="M100">
        <f>_xlfn.XLOOKUP(D100,Doctor_Master!A:A,Doctor_Master!D:D)</f>
        <v>1500</v>
      </c>
    </row>
    <row r="101" spans="1:13">
      <c r="A101" t="s">
        <v>174</v>
      </c>
      <c r="B101" s="1">
        <v>45690</v>
      </c>
      <c r="C101" t="s">
        <v>44</v>
      </c>
      <c r="D101" t="s">
        <v>45</v>
      </c>
      <c r="E101">
        <v>1200</v>
      </c>
      <c r="F101" t="s">
        <v>16</v>
      </c>
      <c r="G101" t="s">
        <v>46</v>
      </c>
      <c r="H101" t="s">
        <v>20</v>
      </c>
      <c r="I101" t="s">
        <v>47</v>
      </c>
      <c r="J101">
        <v>34</v>
      </c>
      <c r="K101" t="str">
        <f>_xlfn.XLOOKUP(C101,Department_Master!A:A,Department_Master!B:B)</f>
        <v>Orthopedics</v>
      </c>
      <c r="L101" t="str">
        <f>_xlfn.XLOOKUP(D101,Doctor_Master!A:A,Doctor_Master!B:B)</f>
        <v>Dr Mehta</v>
      </c>
      <c r="M101">
        <f>_xlfn.XLOOKUP(D101,Doctor_Master!A:A,Doctor_Master!D:D)</f>
        <v>1200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7981-6FA4-4113-BD97-1E25AC2A0CFB}">
  <dimension ref="A1:B6"/>
  <sheetViews>
    <sheetView workbookViewId="0">
      <selection sqref="A1:B6"/>
    </sheetView>
  </sheetViews>
  <sheetFormatPr defaultRowHeight="15"/>
  <cols>
    <col min="1" max="1" width="10.28515625" bestFit="1" customWidth="1"/>
    <col min="2" max="2" width="20.5703125" bestFit="1" customWidth="1"/>
  </cols>
  <sheetData>
    <row r="1" spans="1:2">
      <c r="A1" s="2" t="s">
        <v>31</v>
      </c>
      <c r="B1" t="s">
        <v>175</v>
      </c>
    </row>
    <row r="2" spans="1:2">
      <c r="A2" t="s">
        <v>39</v>
      </c>
      <c r="B2" t="s">
        <v>9</v>
      </c>
    </row>
    <row r="3" spans="1:2">
      <c r="A3" t="s">
        <v>44</v>
      </c>
      <c r="B3" t="s">
        <v>12</v>
      </c>
    </row>
    <row r="4" spans="1:2">
      <c r="A4" t="s">
        <v>49</v>
      </c>
      <c r="B4" t="s">
        <v>11</v>
      </c>
    </row>
    <row r="5" spans="1:2">
      <c r="A5" t="s">
        <v>55</v>
      </c>
      <c r="B5" t="s">
        <v>10</v>
      </c>
    </row>
    <row r="6" spans="1:2">
      <c r="A6" t="s">
        <v>61</v>
      </c>
      <c r="B6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DD37-7A25-4631-B76C-7B1D987E733B}">
  <dimension ref="A1:D6"/>
  <sheetViews>
    <sheetView workbookViewId="0">
      <selection sqref="A1:D6"/>
    </sheetView>
  </sheetViews>
  <sheetFormatPr defaultRowHeight="15"/>
  <cols>
    <col min="1" max="1" width="12.28515625" bestFit="1" customWidth="1"/>
    <col min="2" max="2" width="15.7109375" bestFit="1" customWidth="1"/>
    <col min="3" max="3" width="10.42578125" bestFit="1" customWidth="1"/>
    <col min="4" max="4" width="19.140625" bestFit="1" customWidth="1"/>
  </cols>
  <sheetData>
    <row r="1" spans="1:4">
      <c r="A1" t="s">
        <v>32</v>
      </c>
      <c r="B1" t="s">
        <v>176</v>
      </c>
      <c r="C1" t="s">
        <v>31</v>
      </c>
      <c r="D1" t="s">
        <v>177</v>
      </c>
    </row>
    <row r="2" spans="1:4">
      <c r="A2" t="s">
        <v>40</v>
      </c>
      <c r="B2" t="s">
        <v>6</v>
      </c>
      <c r="C2" t="s">
        <v>39</v>
      </c>
      <c r="D2">
        <v>1500</v>
      </c>
    </row>
    <row r="3" spans="1:4">
      <c r="A3" t="s">
        <v>45</v>
      </c>
      <c r="B3" t="s">
        <v>4</v>
      </c>
      <c r="C3" t="s">
        <v>44</v>
      </c>
      <c r="D3">
        <v>1200</v>
      </c>
    </row>
    <row r="4" spans="1:4">
      <c r="A4" t="s">
        <v>50</v>
      </c>
      <c r="B4" t="s">
        <v>5</v>
      </c>
      <c r="C4" t="s">
        <v>49</v>
      </c>
      <c r="D4">
        <v>1800</v>
      </c>
    </row>
    <row r="5" spans="1:4">
      <c r="A5" t="s">
        <v>56</v>
      </c>
      <c r="B5" t="s">
        <v>3</v>
      </c>
      <c r="C5" t="s">
        <v>55</v>
      </c>
      <c r="D5">
        <v>800</v>
      </c>
    </row>
    <row r="6" spans="1:4">
      <c r="A6" t="s">
        <v>62</v>
      </c>
      <c r="B6" t="s">
        <v>2</v>
      </c>
      <c r="C6" t="s">
        <v>61</v>
      </c>
      <c r="D6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2025-12-30T08:32:10Z</dcterms:created>
  <dcterms:modified xsi:type="dcterms:W3CDTF">2025-12-30T18:42:22Z</dcterms:modified>
  <cp:category/>
  <cp:contentStatus/>
</cp:coreProperties>
</file>